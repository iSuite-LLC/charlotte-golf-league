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9900" yWindow="1470" windowWidth="28800" windowHeight="15345" tabRatio="714" firstSheet="5" activeTab="5" autoFilterDateGrouping="1"/>
  </bookViews>
  <sheets>
    <sheet xmlns:r="http://schemas.openxmlformats.org/officeDocument/2006/relationships" name="Scores 2024" sheetId="1" state="hidden" r:id="rId1"/>
    <sheet xmlns:r="http://schemas.openxmlformats.org/officeDocument/2006/relationships" name="Sep 2 - 13th" sheetId="2" state="hidden" r:id="rId2"/>
    <sheet xmlns:r="http://schemas.openxmlformats.org/officeDocument/2006/relationships" name="July 22 - Aug 2nd" sheetId="3" state="hidden" r:id="rId3"/>
    <sheet xmlns:r="http://schemas.openxmlformats.org/officeDocument/2006/relationships" name="Aug 5 - 16th" sheetId="4" state="hidden" r:id="rId4"/>
    <sheet xmlns:r="http://schemas.openxmlformats.org/officeDocument/2006/relationships" name="Aug 19 - 30th" sheetId="5" state="hidden" r:id="rId5"/>
    <sheet xmlns:r="http://schemas.openxmlformats.org/officeDocument/2006/relationships" name="Schedule" sheetId="6" state="visible" r:id="rId6"/>
    <sheet xmlns:r="http://schemas.openxmlformats.org/officeDocument/2006/relationships" name="Course Info" sheetId="7" state="hidden" r:id="rId7"/>
    <sheet xmlns:r="http://schemas.openxmlformats.org/officeDocument/2006/relationships" name="Scores 2026" sheetId="8" state="visible" r:id="rId8"/>
    <sheet xmlns:r="http://schemas.openxmlformats.org/officeDocument/2006/relationships" name="Calculator (old)" sheetId="9" state="hidden" r:id="rId9"/>
    <sheet xmlns:r="http://schemas.openxmlformats.org/officeDocument/2006/relationships" name="Calculator" sheetId="10" state="hidden" r:id="rId10"/>
    <sheet xmlns:r="http://schemas.openxmlformats.org/officeDocument/2006/relationships" name="Helper" sheetId="11" state="hidden" r:id="rId11"/>
    <sheet xmlns:r="http://schemas.openxmlformats.org/officeDocument/2006/relationships" name="Sep 16 - 27th" sheetId="12" state="hidden" r:id="rId12"/>
    <sheet xmlns:r="http://schemas.openxmlformats.org/officeDocument/2006/relationships" name="Sep 30 - Oct 11" sheetId="13" state="hidden" r:id="rId13"/>
    <sheet xmlns:r="http://schemas.openxmlformats.org/officeDocument/2006/relationships" name="Oct 14 - 25th" sheetId="14" state="hidden" r:id="rId14"/>
  </sheets>
  <definedNames>
    <definedName name="Highland_Creek">Helper!$D$3:$D$5</definedName>
    <definedName name="Skybrook">Helper!$C$3:$C$5</definedName>
    <definedName name="_xlnm._FilterDatabase" localSheetId="8" hidden="1">'Calculator (old)'!$AA$2:$AE$21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0.0"/>
    <numFmt numFmtId="166" formatCode="\+0;\-0;0"/>
  </numFmts>
  <fonts count="20">
    <font>
      <name val="Arial"/>
      <family val="2"/>
      <sz val="10"/>
    </font>
    <font>
      <name val="Aptos"/>
      <family val="2"/>
      <color theme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b val="1"/>
      <sz val="10"/>
    </font>
    <font>
      <name val="Arial"/>
      <family val="2"/>
      <color indexed="10"/>
      <sz val="10"/>
    </font>
    <font>
      <name val="Arial"/>
      <family val="2"/>
      <color rgb="FFFF0000"/>
      <sz val="12"/>
    </font>
    <font>
      <name val="Arial"/>
      <family val="2"/>
      <sz val="10"/>
    </font>
    <font>
      <name val="Arial"/>
      <family val="2"/>
      <color rgb="FF0070C0"/>
      <sz val="10"/>
    </font>
    <font>
      <name val="Arial"/>
      <family val="2"/>
      <color theme="0"/>
      <sz val="10"/>
    </font>
    <font>
      <name val="Aptos"/>
      <family val="2"/>
      <color theme="1"/>
      <sz val="10"/>
    </font>
    <font>
      <name val="Aptos"/>
      <family val="2"/>
      <i val="1"/>
      <color rgb="FFFF0000"/>
      <sz val="10"/>
    </font>
    <font>
      <name val="Aptos"/>
      <family val="2"/>
      <b val="1"/>
      <color theme="1"/>
      <sz val="10"/>
    </font>
    <font>
      <name val="Aptos"/>
      <family val="2"/>
      <b val="1"/>
      <color theme="1"/>
      <sz val="18"/>
    </font>
    <font>
      <name val="Aptos"/>
      <family val="2"/>
      <b val="1"/>
      <color theme="1"/>
      <sz val="11"/>
    </font>
    <font>
      <name val="Aptos"/>
      <family val="2"/>
      <sz val="10"/>
    </font>
    <font>
      <name val="Aptos"/>
      <family val="2"/>
      <b val="1"/>
      <color theme="1"/>
      <sz val="14"/>
    </font>
    <font>
      <name val="Aptos"/>
      <family val="2"/>
      <b val="1"/>
      <color theme="1"/>
      <sz val="12"/>
    </font>
    <font>
      <name val="Aptos"/>
      <family val="2"/>
      <sz val="11"/>
    </font>
    <font>
      <name val="Aptos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7" fillId="0" borderId="0"/>
    <xf numFmtId="0" fontId="7" fillId="0" borderId="0"/>
    <xf numFmtId="0" fontId="10" fillId="0" borderId="0"/>
    <xf numFmtId="0" fontId="10" fillId="0" borderId="0"/>
  </cellStyleXfs>
  <cellXfs count="24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/>
    </xf>
    <xf numFmtId="16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8" fontId="0" fillId="0" borderId="1" applyAlignment="1" pivotButton="0" quotePrefix="0" xfId="0">
      <alignment horizontal="center" vertical="center" wrapText="1"/>
    </xf>
    <xf numFmtId="12" fontId="6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2" borderId="2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1" fillId="0" borderId="0" applyAlignment="1" pivotButton="0" quotePrefix="0" xfId="2">
      <alignment vertical="center"/>
    </xf>
    <xf numFmtId="0" fontId="10" fillId="0" borderId="0" applyAlignment="1" pivotButton="0" quotePrefix="0" xfId="2">
      <alignment vertical="center"/>
    </xf>
    <xf numFmtId="0" fontId="12" fillId="0" borderId="25" applyAlignment="1" pivotButton="0" quotePrefix="0" xfId="2">
      <alignment horizontal="center" vertical="center" wrapText="1"/>
    </xf>
    <xf numFmtId="0" fontId="10" fillId="0" borderId="0" applyAlignment="1" pivotButton="0" quotePrefix="0" xfId="2">
      <alignment vertical="center" wrapText="1"/>
    </xf>
    <xf numFmtId="0" fontId="10" fillId="0" borderId="10" applyAlignment="1" pivotButton="0" quotePrefix="0" xfId="2">
      <alignment horizontal="right" vertical="center"/>
    </xf>
    <xf numFmtId="0" fontId="10" fillId="0" borderId="8" applyAlignment="1" pivotButton="0" quotePrefix="0" xfId="2">
      <alignment horizontal="center" vertical="center"/>
    </xf>
    <xf numFmtId="0" fontId="2" fillId="0" borderId="1" applyAlignment="1" pivotButton="0" quotePrefix="0" xfId="2">
      <alignment vertical="center"/>
    </xf>
    <xf numFmtId="0" fontId="10" fillId="5" borderId="1" applyAlignment="1" pivotButton="0" quotePrefix="0" xfId="2">
      <alignment vertical="center"/>
    </xf>
    <xf numFmtId="165" fontId="10" fillId="0" borderId="1" applyAlignment="1" pivotButton="0" quotePrefix="0" xfId="2">
      <alignment horizontal="center" vertical="center"/>
    </xf>
    <xf numFmtId="0" fontId="12" fillId="0" borderId="30" applyAlignment="1" pivotButton="0" quotePrefix="0" xfId="2">
      <alignment horizontal="center" vertical="center"/>
    </xf>
    <xf numFmtId="0" fontId="10" fillId="0" borderId="30" applyAlignment="1" pivotButton="0" quotePrefix="0" xfId="2">
      <alignment horizontal="right" vertical="center"/>
    </xf>
    <xf numFmtId="0" fontId="12" fillId="0" borderId="31" applyAlignment="1" pivotButton="0" quotePrefix="0" xfId="2">
      <alignment horizontal="center" vertical="center"/>
    </xf>
    <xf numFmtId="0" fontId="10" fillId="0" borderId="28" applyAlignment="1" pivotButton="0" quotePrefix="0" xfId="2">
      <alignment horizontal="right" vertical="center"/>
    </xf>
    <xf numFmtId="0" fontId="10" fillId="0" borderId="32" applyAlignment="1" pivotButton="0" quotePrefix="0" xfId="2">
      <alignment horizontal="center" vertical="center"/>
    </xf>
    <xf numFmtId="0" fontId="10" fillId="0" borderId="0" applyAlignment="1" pivotButton="0" quotePrefix="0" xfId="2">
      <alignment horizontal="center" vertical="center"/>
    </xf>
    <xf numFmtId="0" fontId="10" fillId="0" borderId="0" applyAlignment="1" pivotButton="0" quotePrefix="0" xfId="2">
      <alignment horizontal="right" vertical="center"/>
    </xf>
    <xf numFmtId="0" fontId="10" fillId="4" borderId="0" applyAlignment="1" pivotButton="0" quotePrefix="0" xfId="2">
      <alignment horizontal="center" vertical="center"/>
    </xf>
    <xf numFmtId="0" fontId="14" fillId="0" borderId="8" applyAlignment="1" pivotButton="0" quotePrefix="0" xfId="2">
      <alignment horizontal="left" vertical="center"/>
    </xf>
    <xf numFmtId="0" fontId="14" fillId="0" borderId="10" applyAlignment="1" pivotButton="0" quotePrefix="0" xfId="2">
      <alignment horizontal="center" vertical="center"/>
    </xf>
    <xf numFmtId="0" fontId="14" fillId="0" borderId="27" applyAlignment="1" pivotButton="0" quotePrefix="0" xfId="2">
      <alignment horizontal="center" vertical="center"/>
    </xf>
    <xf numFmtId="0" fontId="14" fillId="0" borderId="26" applyAlignment="1" pivotButton="0" quotePrefix="0" xfId="2">
      <alignment horizontal="center" vertical="center"/>
    </xf>
    <xf numFmtId="0" fontId="10" fillId="0" borderId="32" applyAlignment="1" pivotButton="0" quotePrefix="0" xfId="2">
      <alignment vertical="center"/>
    </xf>
    <xf numFmtId="0" fontId="10" fillId="0" borderId="28" applyAlignment="1" pivotButton="0" quotePrefix="0" xfId="2">
      <alignment horizontal="center" vertical="center"/>
    </xf>
    <xf numFmtId="0" fontId="10" fillId="0" borderId="29" applyAlignment="1" pivotButton="0" quotePrefix="0" xfId="2">
      <alignment horizontal="center" vertical="center"/>
    </xf>
    <xf numFmtId="0" fontId="14" fillId="0" borderId="32" applyAlignment="1" pivotButton="0" quotePrefix="0" xfId="2">
      <alignment vertical="center"/>
    </xf>
    <xf numFmtId="166" fontId="10" fillId="0" borderId="0" applyAlignment="1" pivotButton="0" quotePrefix="0" xfId="2">
      <alignment horizontal="center" vertical="center"/>
    </xf>
    <xf numFmtId="165" fontId="2" fillId="0" borderId="1" applyAlignment="1" pivotButton="0" quotePrefix="0" xfId="2">
      <alignment horizontal="center" vertical="center"/>
    </xf>
    <xf numFmtId="0" fontId="12" fillId="0" borderId="31" applyAlignment="1" pivotButton="0" quotePrefix="0" xfId="2">
      <alignment vertical="center"/>
    </xf>
    <xf numFmtId="0" fontId="12" fillId="0" borderId="9" applyAlignment="1" pivotButton="0" quotePrefix="0" xfId="2">
      <alignment horizontal="center" vertical="center"/>
    </xf>
    <xf numFmtId="0" fontId="12" fillId="0" borderId="33" applyAlignment="1" pivotButton="0" quotePrefix="0" xfId="2">
      <alignment horizontal="center" vertical="center"/>
    </xf>
    <xf numFmtId="0" fontId="0" fillId="0" borderId="1" pivotButton="0" quotePrefix="0" xfId="0"/>
    <xf numFmtId="0" fontId="0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0" fontId="0" fillId="0" borderId="0" pivotButton="0" quotePrefix="1" xfId="0"/>
    <xf numFmtId="0" fontId="4" fillId="0" borderId="44" applyAlignment="1" pivotButton="0" quotePrefix="0" xfId="0">
      <alignment horizontal="center" vertical="center"/>
    </xf>
    <xf numFmtId="0" fontId="0" fillId="0" borderId="0" applyAlignment="1" pivotButton="0" quotePrefix="1" xfId="0">
      <alignment horizontal="left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2">
      <alignment horizontal="left" vertical="center"/>
    </xf>
    <xf numFmtId="165" fontId="15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2" fillId="0" borderId="1" pivotButton="0" quotePrefix="0" xfId="0"/>
    <xf numFmtId="165" fontId="2" fillId="0" borderId="1" applyAlignment="1" pivotButton="0" quotePrefix="0" xfId="0">
      <alignment horizontal="center" vertical="center"/>
    </xf>
    <xf numFmtId="0" fontId="16" fillId="4" borderId="0" applyAlignment="1" pivotButton="0" quotePrefix="0" xfId="2">
      <alignment horizontal="center" vertical="center"/>
    </xf>
    <xf numFmtId="0" fontId="10" fillId="0" borderId="1" applyAlignment="1" pivotButton="0" quotePrefix="0" xfId="2">
      <alignment horizontal="center" vertical="center"/>
    </xf>
    <xf numFmtId="0" fontId="10" fillId="0" borderId="1" applyAlignment="1" pivotButton="0" quotePrefix="0" xfId="2">
      <alignment vertical="center"/>
    </xf>
    <xf numFmtId="0" fontId="1" fillId="0" borderId="1" applyAlignment="1" pivotButton="0" quotePrefix="0" xfId="2">
      <alignment horizontal="center" vertical="center"/>
    </xf>
    <xf numFmtId="0" fontId="1" fillId="0" borderId="28" applyAlignment="1" pivotButton="0" quotePrefix="0" xfId="2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29" applyAlignment="1" pivotButton="0" quotePrefix="0" xfId="2">
      <alignment horizontal="center" vertical="center"/>
    </xf>
    <xf numFmtId="0" fontId="11" fillId="0" borderId="0" applyAlignment="1" pivotButton="0" quotePrefix="0" xfId="3">
      <alignment vertical="center"/>
    </xf>
    <xf numFmtId="0" fontId="1" fillId="0" borderId="0" applyAlignment="1" pivotButton="0" quotePrefix="0" xfId="3">
      <alignment vertical="center"/>
    </xf>
    <xf numFmtId="0" fontId="12" fillId="0" borderId="25" applyAlignment="1" pivotButton="0" quotePrefix="0" xfId="3">
      <alignment horizontal="center" vertical="center" wrapText="1"/>
    </xf>
    <xf numFmtId="0" fontId="1" fillId="0" borderId="0" applyAlignment="1" pivotButton="0" quotePrefix="0" xfId="3">
      <alignment vertical="center" wrapText="1"/>
    </xf>
    <xf numFmtId="0" fontId="1" fillId="0" borderId="10" applyAlignment="1" pivotButton="0" quotePrefix="0" xfId="3">
      <alignment horizontal="right" vertical="center"/>
    </xf>
    <xf numFmtId="0" fontId="1" fillId="0" borderId="8" applyAlignment="1" pivotButton="0" quotePrefix="0" xfId="3">
      <alignment horizontal="center" vertical="center"/>
    </xf>
    <xf numFmtId="0" fontId="1" fillId="0" borderId="1" applyAlignment="1" pivotButton="0" quotePrefix="0" xfId="3">
      <alignment horizontal="center"/>
    </xf>
    <xf numFmtId="0" fontId="2" fillId="0" borderId="1" applyAlignment="1" pivotButton="0" quotePrefix="0" xfId="3">
      <alignment vertical="center"/>
    </xf>
    <xf numFmtId="0" fontId="12" fillId="0" borderId="30" applyAlignment="1" pivotButton="0" quotePrefix="0" xfId="3">
      <alignment horizontal="center" vertical="center"/>
    </xf>
    <xf numFmtId="0" fontId="1" fillId="0" borderId="30" applyAlignment="1" pivotButton="0" quotePrefix="0" xfId="3">
      <alignment horizontal="right" vertical="center"/>
    </xf>
    <xf numFmtId="0" fontId="12" fillId="0" borderId="31" applyAlignment="1" pivotButton="0" quotePrefix="0" xfId="3">
      <alignment horizontal="center" vertical="center"/>
    </xf>
    <xf numFmtId="0" fontId="1" fillId="0" borderId="28" applyAlignment="1" pivotButton="0" quotePrefix="0" xfId="3">
      <alignment horizontal="right" vertical="center"/>
    </xf>
    <xf numFmtId="0" fontId="1" fillId="0" borderId="32" applyAlignment="1" pivotButton="0" quotePrefix="0" xfId="3">
      <alignment horizontal="center" vertical="center"/>
    </xf>
    <xf numFmtId="0" fontId="1" fillId="0" borderId="0" applyAlignment="1" pivotButton="0" quotePrefix="0" xfId="3">
      <alignment horizontal="center" vertical="center"/>
    </xf>
    <xf numFmtId="0" fontId="1" fillId="0" borderId="0" applyAlignment="1" pivotButton="0" quotePrefix="0" xfId="3">
      <alignment horizontal="right" vertical="center"/>
    </xf>
    <xf numFmtId="0" fontId="14" fillId="0" borderId="8" applyAlignment="1" pivotButton="0" quotePrefix="0" xfId="3">
      <alignment horizontal="left" vertical="center"/>
    </xf>
    <xf numFmtId="0" fontId="14" fillId="0" borderId="10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0" fontId="14" fillId="0" borderId="26" applyAlignment="1" pivotButton="0" quotePrefix="0" xfId="3">
      <alignment horizontal="center" vertical="center"/>
    </xf>
    <xf numFmtId="0" fontId="1" fillId="0" borderId="32" applyAlignment="1" pivotButton="0" quotePrefix="0" xfId="3">
      <alignment vertical="center"/>
    </xf>
    <xf numFmtId="0" fontId="1" fillId="0" borderId="28" applyAlignment="1" pivotButton="0" quotePrefix="0" xfId="3">
      <alignment horizontal="center" vertical="center"/>
    </xf>
    <xf numFmtId="0" fontId="1" fillId="0" borderId="29" applyAlignment="1" pivotButton="0" quotePrefix="0" xfId="3">
      <alignment horizontal="center" vertical="center"/>
    </xf>
    <xf numFmtId="0" fontId="14" fillId="0" borderId="32" applyAlignment="1" pivotButton="0" quotePrefix="0" xfId="3">
      <alignment vertical="center"/>
    </xf>
    <xf numFmtId="166" fontId="1" fillId="0" borderId="0" applyAlignment="1" pivotButton="0" quotePrefix="0" xfId="3">
      <alignment horizontal="center" vertical="center"/>
    </xf>
    <xf numFmtId="0" fontId="12" fillId="0" borderId="31" applyAlignment="1" pivotButton="0" quotePrefix="0" xfId="3">
      <alignment vertical="center"/>
    </xf>
    <xf numFmtId="0" fontId="12" fillId="0" borderId="9" applyAlignment="1" pivotButton="0" quotePrefix="0" xfId="3">
      <alignment horizontal="center" vertical="center"/>
    </xf>
    <xf numFmtId="0" fontId="12" fillId="0" borderId="33" applyAlignment="1" pivotButton="0" quotePrefix="0" xfId="3">
      <alignment horizontal="center" vertical="center"/>
    </xf>
    <xf numFmtId="0" fontId="12" fillId="0" borderId="0" applyAlignment="1" pivotButton="0" quotePrefix="0" xfId="3">
      <alignment horizontal="center"/>
    </xf>
    <xf numFmtId="0" fontId="1" fillId="0" borderId="0" applyAlignment="1" pivotButton="0" quotePrefix="0" xfId="3">
      <alignment horizontal="center"/>
    </xf>
    <xf numFmtId="0" fontId="17" fillId="4" borderId="0" applyAlignment="1" applyProtection="1" pivotButton="0" quotePrefix="0" xfId="3">
      <alignment horizontal="center" vertical="center"/>
      <protection locked="0" hidden="0"/>
    </xf>
    <xf numFmtId="0" fontId="14" fillId="4" borderId="28" applyAlignment="1" applyProtection="1" pivotButton="0" quotePrefix="0" xfId="3">
      <alignment horizontal="center" vertical="center"/>
      <protection locked="0" hidden="0"/>
    </xf>
    <xf numFmtId="0" fontId="14" fillId="4" borderId="0" applyAlignment="1" applyProtection="1" pivotButton="0" quotePrefix="0" xfId="3">
      <alignment horizontal="center" vertical="center"/>
      <protection locked="0" hidden="0"/>
    </xf>
    <xf numFmtId="0" fontId="14" fillId="4" borderId="29" applyAlignment="1" applyProtection="1" pivotButton="0" quotePrefix="0" xfId="3">
      <alignment horizontal="center" vertical="center"/>
      <protection locked="0" hidden="0"/>
    </xf>
    <xf numFmtId="0" fontId="1" fillId="4" borderId="0" applyAlignment="1" applyProtection="1" pivotButton="0" quotePrefix="0" xfId="3">
      <alignment horizontal="center" vertical="center"/>
      <protection locked="0" hidden="0"/>
    </xf>
    <xf numFmtId="16" fontId="0" fillId="0" borderId="0" applyAlignment="1" pivotButton="0" quotePrefix="0" xfId="0">
      <alignment horizontal="left" vertical="center"/>
    </xf>
    <xf numFmtId="0" fontId="4" fillId="0" borderId="45" applyAlignment="1" pivotButton="0" quotePrefix="0" xfId="0">
      <alignment horizontal="center" vertical="center" wrapText="1"/>
    </xf>
    <xf numFmtId="0" fontId="0" fillId="3" borderId="38" applyAlignment="1" pivotButton="0" quotePrefix="0" xfId="0">
      <alignment horizontal="center" vertical="center"/>
    </xf>
    <xf numFmtId="165" fontId="2" fillId="0" borderId="1" applyAlignment="1" pivotButton="0" quotePrefix="0" xfId="3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" fillId="5" borderId="0" applyAlignment="1" pivotButton="0" quotePrefix="0" xfId="3">
      <alignment horizontal="center" vertical="center"/>
    </xf>
    <xf numFmtId="0" fontId="0" fillId="5" borderId="0" pivotButton="0" quotePrefix="0" xfId="0"/>
    <xf numFmtId="0" fontId="0" fillId="2" borderId="4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3" borderId="14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1" fillId="4" borderId="0" applyAlignment="1" pivotButton="0" quotePrefix="0" xfId="3">
      <alignment vertical="center"/>
    </xf>
    <xf numFmtId="0" fontId="1" fillId="4" borderId="0" applyAlignment="1" pivotButton="0" quotePrefix="0" xfId="3">
      <alignment horizontal="center" vertical="center"/>
    </xf>
    <xf numFmtId="0" fontId="0" fillId="3" borderId="5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16" fontId="4" fillId="0" borderId="51" applyAlignment="1" pivotButton="0" quotePrefix="0" xfId="0">
      <alignment horizontal="center" vertical="center"/>
    </xf>
    <xf numFmtId="0" fontId="0" fillId="6" borderId="0" pivotButton="0" quotePrefix="0" xfId="0"/>
    <xf numFmtId="0" fontId="17" fillId="5" borderId="19" applyAlignment="1" pivotButton="0" quotePrefix="0" xfId="3">
      <alignment horizontal="center" vertical="center" wrapText="1"/>
    </xf>
    <xf numFmtId="0" fontId="0" fillId="0" borderId="19" pivotButton="0" quotePrefix="0" xfId="0"/>
    <xf numFmtId="0" fontId="1" fillId="0" borderId="0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/>
    </xf>
    <xf numFmtId="0" fontId="13" fillId="5" borderId="25" applyAlignment="1" pivotButton="0" quotePrefix="0" xfId="3">
      <alignment horizontal="center" vertical="center"/>
    </xf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3" pivotButton="0" quotePrefix="0" xfId="0"/>
    <xf numFmtId="0" fontId="17" fillId="5" borderId="25" applyAlignment="1" pivotButton="0" quotePrefix="0" xfId="3">
      <alignment horizontal="center" vertical="center" wrapText="1"/>
    </xf>
    <xf numFmtId="0" fontId="12" fillId="0" borderId="17" applyAlignment="1" pivotButton="0" quotePrefix="0" xfId="3">
      <alignment horizontal="center" vertical="center"/>
    </xf>
    <xf numFmtId="0" fontId="1" fillId="0" borderId="9" applyAlignment="1" pivotButton="0" quotePrefix="0" xfId="3">
      <alignment horizontal="center" vertical="center"/>
    </xf>
    <xf numFmtId="0" fontId="0" fillId="0" borderId="9" pivotButton="0" quotePrefix="0" xfId="0"/>
    <xf numFmtId="0" fontId="13" fillId="5" borderId="19" applyAlignment="1" pivotButton="0" quotePrefix="0" xfId="3">
      <alignment horizontal="center" vertical="center"/>
    </xf>
    <xf numFmtId="0" fontId="3" fillId="0" borderId="2" applyAlignment="1" pivotButton="0" quotePrefix="0" xfId="0">
      <alignment horizontal="center"/>
    </xf>
    <xf numFmtId="0" fontId="0" fillId="0" borderId="2" pivotButton="0" quotePrefix="0" xfId="0"/>
    <xf numFmtId="0" fontId="3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38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35" pivotButton="0" quotePrefix="0" xfId="0"/>
    <xf numFmtId="2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36" pivotButton="0" quotePrefix="0" xfId="0"/>
    <xf numFmtId="0" fontId="0" fillId="0" borderId="37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4" pivotButton="0" quotePrefix="0" xfId="0"/>
    <xf numFmtId="0" fontId="0" fillId="4" borderId="3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0" fillId="0" borderId="46" pivotButton="0" quotePrefix="0" xfId="0"/>
    <xf numFmtId="165" fontId="0" fillId="0" borderId="12" applyAlignment="1" pivotButton="0" quotePrefix="0" xfId="0">
      <alignment horizontal="center" vertical="center"/>
    </xf>
    <xf numFmtId="0" fontId="0" fillId="0" borderId="49" pivotButton="0" quotePrefix="0" xfId="0"/>
    <xf numFmtId="0" fontId="4" fillId="2" borderId="25" applyAlignment="1" pivotButton="0" quotePrefix="0" xfId="0">
      <alignment horizontal="left" vertical="center"/>
    </xf>
    <xf numFmtId="0" fontId="0" fillId="0" borderId="31" pivotButton="0" quotePrefix="0" xfId="0"/>
    <xf numFmtId="0" fontId="4" fillId="2" borderId="4" applyAlignment="1" pivotButton="0" quotePrefix="0" xfId="0">
      <alignment horizontal="left" vertical="center"/>
    </xf>
    <xf numFmtId="0" fontId="0" fillId="0" borderId="5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8" pivotButton="0" quotePrefix="0" xfId="0"/>
    <xf numFmtId="0" fontId="0" fillId="2" borderId="3" applyAlignment="1" pivotButton="0" quotePrefix="0" xfId="0">
      <alignment horizontal="center" vertical="center"/>
    </xf>
    <xf numFmtId="0" fontId="4" fillId="0" borderId="25" applyAlignment="1" pivotButton="0" quotePrefix="0" xfId="0">
      <alignment horizontal="left" vertical="center"/>
    </xf>
    <xf numFmtId="0" fontId="4" fillId="2" borderId="11" applyAlignment="1" pivotButton="0" quotePrefix="0" xfId="0">
      <alignment horizontal="center" vertical="center"/>
    </xf>
    <xf numFmtId="0" fontId="0" fillId="0" borderId="47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11" pivotButton="0" quotePrefix="0" xfId="0"/>
    <xf numFmtId="0" fontId="4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0" fillId="2" borderId="12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0" fillId="0" borderId="18" pivotButton="0" quotePrefix="0" xfId="0"/>
    <xf numFmtId="0" fontId="17" fillId="5" borderId="19" applyAlignment="1" pivotButton="0" quotePrefix="0" xfId="2">
      <alignment horizontal="center" vertical="center" wrapText="1"/>
    </xf>
    <xf numFmtId="0" fontId="10" fillId="0" borderId="0" applyAlignment="1" pivotButton="0" quotePrefix="0" xfId="2">
      <alignment horizontal="center" vertical="center"/>
    </xf>
    <xf numFmtId="0" fontId="10" fillId="0" borderId="0" applyAlignment="1" pivotButton="0" quotePrefix="0" xfId="2">
      <alignment vertical="center"/>
    </xf>
    <xf numFmtId="0" fontId="13" fillId="5" borderId="25" applyAlignment="1" pivotButton="0" quotePrefix="0" xfId="2">
      <alignment horizontal="center" vertical="center"/>
    </xf>
    <xf numFmtId="0" fontId="17" fillId="5" borderId="25" applyAlignment="1" pivotButton="0" quotePrefix="0" xfId="2">
      <alignment horizontal="center" vertical="center" wrapText="1"/>
    </xf>
    <xf numFmtId="0" fontId="12" fillId="0" borderId="17" applyAlignment="1" pivotButton="0" quotePrefix="0" xfId="2">
      <alignment horizontal="center" vertical="center"/>
    </xf>
    <xf numFmtId="0" fontId="10" fillId="0" borderId="9" applyAlignment="1" pivotButton="0" quotePrefix="0" xfId="2">
      <alignment horizontal="center" vertical="center"/>
    </xf>
    <xf numFmtId="0" fontId="13" fillId="5" borderId="19" applyAlignment="1" pivotButton="0" quotePrefix="0" xfId="2">
      <alignment horizontal="center" vertical="center"/>
    </xf>
  </cellXfs>
  <cellStyles count="4">
    <cellStyle name="Normal" xfId="0" builtinId="0"/>
    <cellStyle name="Normal 2" xfId="1"/>
    <cellStyle name="Normal 3" xfId="2"/>
    <cellStyle name="Normal 3 2" xfId="3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0"/>
  <sheetViews>
    <sheetView zoomScaleNormal="100" workbookViewId="0">
      <selection activeCell="H28" sqref="H28"/>
    </sheetView>
  </sheetViews>
  <sheetFormatPr baseColWidth="8" defaultColWidth="9.140625" defaultRowHeight="12.75"/>
  <cols>
    <col width="3.140625" customWidth="1" style="228" min="1" max="1"/>
    <col width="18" bestFit="1" customWidth="1" style="228" min="2" max="2"/>
    <col width="12.140625" bestFit="1" customWidth="1" style="228" min="3" max="3"/>
    <col width="9.140625" customWidth="1" style="228" min="4" max="11"/>
    <col width="11.5703125" customWidth="1" style="228" min="12" max="13"/>
    <col width="9.140625" customWidth="1" style="228" min="14" max="30"/>
    <col width="9.140625" customWidth="1" style="228" min="31" max="16384"/>
  </cols>
  <sheetData>
    <row r="1" ht="13.5" customHeight="1" s="197" thickBot="1">
      <c r="M1" s="229" t="inlineStr">
        <is>
          <t>Tiebreaker</t>
        </is>
      </c>
      <c r="N1" s="21" t="n"/>
    </row>
    <row r="2" ht="41.45" customHeight="1" s="197" thickBot="1">
      <c r="B2" s="20" t="inlineStr">
        <is>
          <t>Name</t>
        </is>
      </c>
      <c r="C2" s="22" t="n"/>
      <c r="D2" s="19" t="inlineStr">
        <is>
          <t>Week 1</t>
        </is>
      </c>
      <c r="E2" s="18" t="inlineStr">
        <is>
          <t>Week 2</t>
        </is>
      </c>
      <c r="F2" s="18" t="inlineStr">
        <is>
          <t>Week 3</t>
        </is>
      </c>
      <c r="G2" s="18" t="inlineStr">
        <is>
          <t>Week 4</t>
        </is>
      </c>
      <c r="H2" s="18" t="inlineStr">
        <is>
          <t>Week 5</t>
        </is>
      </c>
      <c r="I2" s="18" t="inlineStr">
        <is>
          <t>Week 6</t>
        </is>
      </c>
      <c r="J2" s="18" t="inlineStr">
        <is>
          <t>Week 7</t>
        </is>
      </c>
      <c r="K2" s="17" t="inlineStr">
        <is>
          <t>Week 8</t>
        </is>
      </c>
      <c r="L2" s="16" t="inlineStr">
        <is>
          <t>League Total Score</t>
        </is>
      </c>
      <c r="M2" s="15" t="inlineStr">
        <is>
          <t>Match Record</t>
        </is>
      </c>
    </row>
    <row r="3" ht="12.95" customHeight="1" s="197" thickBot="1">
      <c r="A3" s="228" t="n">
        <v>1</v>
      </c>
      <c r="B3" s="25" t="inlineStr">
        <is>
          <t>Timothy Hunter</t>
        </is>
      </c>
      <c r="C3" s="24" t="inlineStr">
        <is>
          <t>Match Points</t>
        </is>
      </c>
      <c r="D3" s="23" t="n">
        <v>8</v>
      </c>
      <c r="E3" s="14" t="n">
        <v>3.5</v>
      </c>
      <c r="F3" s="14" t="n">
        <v>4.5</v>
      </c>
      <c r="G3" s="14" t="n">
        <v>7</v>
      </c>
      <c r="H3" s="14" t="n">
        <v>6</v>
      </c>
      <c r="I3" s="14" t="n"/>
      <c r="J3" s="14" t="n"/>
      <c r="K3" s="14" t="n"/>
      <c r="L3" s="26">
        <f>SUM(D3:K3)</f>
        <v/>
      </c>
      <c r="M3" s="13">
        <f>COUNTIF(D3:K3,"&gt;=4.5")&amp;"-"&amp;COUNTIF(D3:K3,"&lt;4")&amp;"-"&amp;COUNTIF(D3:K3,"=4")</f>
        <v/>
      </c>
    </row>
    <row r="4" ht="12.95" customHeight="1" s="197" thickBot="1">
      <c r="A4" s="228" t="n">
        <v>2</v>
      </c>
      <c r="B4" s="25" t="inlineStr">
        <is>
          <t>John Thorton</t>
        </is>
      </c>
      <c r="C4" s="24" t="inlineStr">
        <is>
          <t>Match Points</t>
        </is>
      </c>
      <c r="D4" s="23" t="n">
        <v>0</v>
      </c>
      <c r="E4" s="14" t="n">
        <v>2</v>
      </c>
      <c r="F4" s="14" t="n">
        <v>7</v>
      </c>
      <c r="G4" s="14" t="n">
        <v>2</v>
      </c>
      <c r="H4" s="14" t="n">
        <v>0</v>
      </c>
      <c r="I4" s="14" t="n"/>
      <c r="J4" s="14" t="n"/>
      <c r="K4" s="14" t="n"/>
      <c r="L4" s="26">
        <f>SUM(D4:K4)</f>
        <v/>
      </c>
      <c r="M4" s="13">
        <f>COUNTIF(D4:K4,"&gt;=4.5")&amp;"-"&amp;COUNTIF(D4:K4,"&lt;4")&amp;"-"&amp;COUNTIF(D4:K4,"=4")</f>
        <v/>
      </c>
    </row>
    <row r="5" ht="12.95" customHeight="1" s="197" thickBot="1">
      <c r="A5" s="228" t="n">
        <v>3</v>
      </c>
      <c r="B5" s="25" t="inlineStr">
        <is>
          <t>Vince Frasco</t>
        </is>
      </c>
      <c r="C5" s="24" t="inlineStr">
        <is>
          <t>Match Points</t>
        </is>
      </c>
      <c r="D5" s="23" t="n"/>
      <c r="E5" s="14" t="n">
        <v>4.5</v>
      </c>
      <c r="F5" s="14" t="n">
        <v>1</v>
      </c>
      <c r="G5" s="14" t="n">
        <v>3</v>
      </c>
      <c r="H5" s="14" t="n">
        <v>3.5</v>
      </c>
      <c r="I5" s="14" t="n">
        <v>7</v>
      </c>
      <c r="J5" s="14" t="n"/>
      <c r="K5" s="14" t="n"/>
      <c r="L5" s="26">
        <f>SUM(D5:K5)</f>
        <v/>
      </c>
      <c r="M5" s="13">
        <f>COUNTIF(D5:K5,"&gt;=4.5")&amp;"-"&amp;COUNTIF(D5:K5,"&lt;4")&amp;"-"&amp;COUNTIF(D5:K5,"=4")</f>
        <v/>
      </c>
    </row>
    <row r="6" ht="12.95" customHeight="1" s="197" thickBot="1">
      <c r="A6" s="228" t="n">
        <v>4</v>
      </c>
      <c r="B6" s="25" t="inlineStr">
        <is>
          <t>Michael Anukwuem</t>
        </is>
      </c>
      <c r="C6" s="24" t="inlineStr">
        <is>
          <t>Match Points</t>
        </is>
      </c>
      <c r="D6" s="23" t="n"/>
      <c r="E6" s="14" t="n">
        <v>6</v>
      </c>
      <c r="F6" s="14" t="n">
        <v>3.5</v>
      </c>
      <c r="G6" s="14" t="n">
        <v>5</v>
      </c>
      <c r="H6" s="14" t="n">
        <v>8</v>
      </c>
      <c r="I6" s="14" t="n"/>
      <c r="J6" s="14" t="n"/>
      <c r="K6" s="14" t="n"/>
      <c r="L6" s="26">
        <f>SUM(D6:K6)</f>
        <v/>
      </c>
      <c r="M6" s="13">
        <f>COUNTIF(D6:K6,"&gt;=4.5")&amp;"-"&amp;COUNTIF(D6:K6,"&lt;4")&amp;"-"&amp;COUNTIF(D6:K6,"=4")</f>
        <v/>
      </c>
    </row>
    <row r="7" ht="12.95" customHeight="1" s="197" thickBot="1">
      <c r="A7" s="228" t="n">
        <v>5</v>
      </c>
      <c r="B7" s="25" t="inlineStr">
        <is>
          <t>Marshall Thompson</t>
        </is>
      </c>
      <c r="C7" s="24" t="inlineStr">
        <is>
          <t>Match Points</t>
        </is>
      </c>
      <c r="D7" s="23" t="n">
        <v>6</v>
      </c>
      <c r="E7" s="14" t="n">
        <v>6</v>
      </c>
      <c r="F7" s="14" t="n">
        <v>4</v>
      </c>
      <c r="G7" s="14" t="n">
        <v>1</v>
      </c>
      <c r="H7" s="14" t="n">
        <v>8</v>
      </c>
      <c r="I7" s="14" t="n">
        <v>1</v>
      </c>
      <c r="J7" s="14" t="n"/>
      <c r="K7" s="14" t="n"/>
      <c r="L7" s="26">
        <f>SUM(D7:K7)</f>
        <v/>
      </c>
      <c r="M7" s="13">
        <f>COUNTIF(D7:K7,"&gt;=4.5")&amp;"-"&amp;COUNTIF(D7:K7,"&lt;4")&amp;"-"&amp;COUNTIF(D7:K7,"=4")</f>
        <v/>
      </c>
    </row>
    <row r="8" ht="12.95" customHeight="1" s="197" thickBot="1">
      <c r="A8" s="228" t="n">
        <v>6</v>
      </c>
      <c r="B8" s="25" t="inlineStr">
        <is>
          <t>Stephen Keeler</t>
        </is>
      </c>
      <c r="C8" s="24" t="inlineStr">
        <is>
          <t>Match Points</t>
        </is>
      </c>
      <c r="D8" s="23" t="n">
        <v>2</v>
      </c>
      <c r="E8" s="14" t="n">
        <v>2</v>
      </c>
      <c r="F8" s="14" t="n">
        <v>1</v>
      </c>
      <c r="G8" s="14" t="n">
        <v>3</v>
      </c>
      <c r="H8" s="14" t="n">
        <v>2</v>
      </c>
      <c r="I8" s="14" t="n"/>
      <c r="J8" s="14" t="n"/>
      <c r="K8" s="14" t="n"/>
      <c r="L8" s="26">
        <f>SUM(D8:K8)</f>
        <v/>
      </c>
      <c r="M8" s="13">
        <f>COUNTIF(D8:K8,"&gt;=4.5")&amp;"-"&amp;COUNTIF(D8:K8,"&lt;4")&amp;"-"&amp;COUNTIF(D8:K8,"=4")</f>
        <v/>
      </c>
    </row>
    <row r="9" ht="12.95" customHeight="1" s="197" thickBot="1">
      <c r="A9" s="228" t="n">
        <v>7</v>
      </c>
      <c r="B9" s="25" t="inlineStr">
        <is>
          <t>Ethan High</t>
        </is>
      </c>
      <c r="C9" s="24" t="inlineStr">
        <is>
          <t>Match Points</t>
        </is>
      </c>
      <c r="D9" s="23" t="n">
        <v>2.5</v>
      </c>
      <c r="E9" s="14" t="n">
        <v>2</v>
      </c>
      <c r="F9" s="14" t="n">
        <v>7</v>
      </c>
      <c r="G9" s="14" t="n">
        <v>6</v>
      </c>
      <c r="H9" s="14" t="n"/>
      <c r="I9" s="14" t="n"/>
      <c r="J9" s="14" t="n"/>
      <c r="K9" s="14" t="n"/>
      <c r="L9" s="26">
        <f>SUM(D9:K9)</f>
        <v/>
      </c>
      <c r="M9" s="13">
        <f>COUNTIF(D9:K9,"&gt;=4.5")&amp;"-"&amp;COUNTIF(D9:K9,"&lt;4")&amp;"-"&amp;COUNTIF(D9:K9,"=4")</f>
        <v/>
      </c>
    </row>
    <row r="10" ht="12.95" customHeight="1" s="197" thickBot="1">
      <c r="A10" s="228" t="n">
        <v>8</v>
      </c>
      <c r="B10" s="25" t="inlineStr">
        <is>
          <t>David Hughes</t>
        </is>
      </c>
      <c r="C10" s="24" t="inlineStr">
        <is>
          <t>Match Points</t>
        </is>
      </c>
      <c r="D10" s="23" t="n">
        <v>5.5</v>
      </c>
      <c r="E10" s="14" t="n">
        <v>6</v>
      </c>
      <c r="F10" s="14" t="n">
        <v>4</v>
      </c>
      <c r="G10" s="14" t="n">
        <v>6</v>
      </c>
      <c r="H10" s="14" t="n"/>
      <c r="I10" s="14" t="n">
        <v>2</v>
      </c>
      <c r="J10" s="14" t="n"/>
      <c r="K10" s="14" t="n"/>
      <c r="L10" s="26">
        <f>SUM(D10:K10)</f>
        <v/>
      </c>
      <c r="M10" s="13">
        <f>COUNTIF(D10:K10,"&gt;=4.5")&amp;"-"&amp;COUNTIF(D10:K10,"&lt;4")&amp;"-"&amp;COUNTIF(D10:K10,"=4")</f>
        <v/>
      </c>
    </row>
    <row r="11" ht="12.95" customHeight="1" s="197" thickBot="1">
      <c r="A11" s="228" t="n">
        <v>9</v>
      </c>
      <c r="B11" s="25" t="inlineStr">
        <is>
          <t>Edward Plasket</t>
        </is>
      </c>
      <c r="C11" s="24" t="inlineStr">
        <is>
          <t>Match Points</t>
        </is>
      </c>
      <c r="D11" s="23" t="n">
        <v>5</v>
      </c>
      <c r="E11" s="14" t="n">
        <v>6</v>
      </c>
      <c r="F11" s="14" t="n">
        <v>6</v>
      </c>
      <c r="G11" s="14" t="n">
        <v>6</v>
      </c>
      <c r="H11" s="14" t="n">
        <v>5</v>
      </c>
      <c r="I11" s="14" t="n"/>
      <c r="J11" s="14" t="n"/>
      <c r="K11" s="14" t="n"/>
      <c r="L11" s="26">
        <f>SUM(D11:K11)</f>
        <v/>
      </c>
      <c r="M11" s="13">
        <f>COUNTIF(D11:K11,"&gt;=4.5")&amp;"-"&amp;COUNTIF(D11:K11,"&lt;4")&amp;"-"&amp;COUNTIF(D11:K11,"=4")</f>
        <v/>
      </c>
    </row>
    <row r="12" ht="12.95" customHeight="1" s="197" thickBot="1">
      <c r="A12" s="228" t="n">
        <v>10</v>
      </c>
      <c r="B12" s="25" t="inlineStr">
        <is>
          <t>JD DeCaprio</t>
        </is>
      </c>
      <c r="C12" s="24" t="inlineStr">
        <is>
          <t>Match Points</t>
        </is>
      </c>
      <c r="D12" s="23" t="n">
        <v>3</v>
      </c>
      <c r="E12" s="14" t="n">
        <v>1</v>
      </c>
      <c r="F12" s="14" t="n">
        <v>1</v>
      </c>
      <c r="G12" s="14" t="n">
        <v>5</v>
      </c>
      <c r="H12" s="14" t="n">
        <v>4</v>
      </c>
      <c r="I12" s="14" t="n">
        <v>3</v>
      </c>
      <c r="J12" s="14" t="n"/>
      <c r="K12" s="14" t="n"/>
      <c r="L12" s="26">
        <f>SUM(D12:K12)</f>
        <v/>
      </c>
      <c r="M12" s="13">
        <f>COUNTIF(D12:K12,"&gt;=4.5")&amp;"-"&amp;COUNTIF(D12:K12,"&lt;4")&amp;"-"&amp;COUNTIF(D12:K12,"=4")</f>
        <v/>
      </c>
    </row>
    <row r="13" ht="12.95" customHeight="1" s="197" thickBot="1">
      <c r="A13" s="228" t="n">
        <v>11</v>
      </c>
      <c r="B13" s="25" t="inlineStr">
        <is>
          <t>Pete Litterini</t>
        </is>
      </c>
      <c r="C13" s="24" t="inlineStr">
        <is>
          <t>Match Points</t>
        </is>
      </c>
      <c r="D13" s="23" t="n">
        <v>2</v>
      </c>
      <c r="E13" s="14" t="n">
        <v>2</v>
      </c>
      <c r="F13" s="14" t="n">
        <v>7</v>
      </c>
      <c r="G13" s="14" t="n">
        <v>5</v>
      </c>
      <c r="H13" s="14" t="n"/>
      <c r="I13" s="14" t="n"/>
      <c r="J13" s="14" t="n"/>
      <c r="K13" s="14" t="n"/>
      <c r="L13" s="26">
        <f>SUM(D13:K13)</f>
        <v/>
      </c>
      <c r="M13" s="13">
        <f>COUNTIF(D13:K13,"&gt;=4.5")&amp;"-"&amp;COUNTIF(D13:K13,"&lt;4")&amp;"-"&amp;COUNTIF(D13:K13,"=4")</f>
        <v/>
      </c>
    </row>
    <row r="14" ht="12.95" customHeight="1" s="197" thickBot="1">
      <c r="A14" s="228" t="n">
        <v>12</v>
      </c>
      <c r="B14" s="25" t="inlineStr">
        <is>
          <t>Bruce Dubovecky</t>
        </is>
      </c>
      <c r="C14" s="24" t="inlineStr">
        <is>
          <t>Match Points</t>
        </is>
      </c>
      <c r="D14" s="23" t="n">
        <v>6</v>
      </c>
      <c r="E14" s="14" t="n">
        <v>7</v>
      </c>
      <c r="F14" s="14" t="n">
        <v>2</v>
      </c>
      <c r="G14" s="14" t="n">
        <v>3</v>
      </c>
      <c r="H14" s="14" t="n">
        <v>4.5</v>
      </c>
      <c r="I14" s="14" t="n"/>
      <c r="J14" s="14" t="n"/>
      <c r="K14" s="14" t="n"/>
      <c r="L14" s="26">
        <f>SUM(D14:K14)</f>
        <v/>
      </c>
      <c r="M14" s="13">
        <f>COUNTIF(D14:K14,"&gt;=4.5")&amp;"-"&amp;COUNTIF(D14:K14,"&lt;4")&amp;"-"&amp;COUNTIF(D14:K14,"=4")</f>
        <v/>
      </c>
    </row>
    <row r="15" ht="12.95" customHeight="1" s="197" thickBot="1">
      <c r="A15" s="228" t="n">
        <v>13</v>
      </c>
      <c r="B15" s="25" t="inlineStr">
        <is>
          <t>Brandon Sizemore</t>
        </is>
      </c>
      <c r="C15" s="24" t="inlineStr">
        <is>
          <t>Match Points</t>
        </is>
      </c>
      <c r="D15" s="23" t="n">
        <v>3</v>
      </c>
      <c r="E15" s="14" t="n">
        <v>6</v>
      </c>
      <c r="F15" s="14" t="n">
        <v>0</v>
      </c>
      <c r="G15" s="14" t="n">
        <v>2.5</v>
      </c>
      <c r="H15" s="14" t="n">
        <v>0</v>
      </c>
      <c r="I15" s="14" t="n"/>
      <c r="J15" s="14" t="n"/>
      <c r="K15" s="14" t="n"/>
      <c r="L15" s="26">
        <f>SUM(D15:K15)</f>
        <v/>
      </c>
      <c r="M15" s="13">
        <f>COUNTIF(D15:K15,"&gt;=4.5")&amp;"-"&amp;COUNTIF(D15:K15,"&lt;4")&amp;"-"&amp;COUNTIF(D15:K15,"=4")</f>
        <v/>
      </c>
    </row>
    <row r="16" ht="12.95" customHeight="1" s="197" thickBot="1">
      <c r="A16" s="228" t="n">
        <v>14</v>
      </c>
      <c r="B16" s="25" t="inlineStr">
        <is>
          <t>Mike Rider</t>
        </is>
      </c>
      <c r="C16" s="24" t="inlineStr">
        <is>
          <t>Match Points</t>
        </is>
      </c>
      <c r="D16" s="23" t="n">
        <v>5</v>
      </c>
      <c r="E16" s="14" t="n">
        <v>4</v>
      </c>
      <c r="F16" s="14" t="n">
        <v>6</v>
      </c>
      <c r="G16" s="14" t="n">
        <v>5</v>
      </c>
      <c r="H16" s="14" t="n"/>
      <c r="I16" s="14" t="n">
        <v>6</v>
      </c>
      <c r="J16" s="14" t="n"/>
      <c r="K16" s="14" t="n"/>
      <c r="L16" s="26">
        <f>SUM(D16:K16)</f>
        <v/>
      </c>
      <c r="M16" s="13">
        <f>COUNTIF(D16:K16,"&gt;=4.5")&amp;"-"&amp;COUNTIF(D16:K16,"&lt;4")&amp;"-"&amp;COUNTIF(D16:K16,"=4")</f>
        <v/>
      </c>
    </row>
    <row r="17" ht="12.95" customHeight="1" s="197" thickBot="1">
      <c r="A17" s="228" t="n">
        <v>15</v>
      </c>
      <c r="B17" s="25" t="inlineStr">
        <is>
          <t>Kevin Edwards</t>
        </is>
      </c>
      <c r="C17" s="24" t="inlineStr">
        <is>
          <t>Match Points</t>
        </is>
      </c>
      <c r="D17" s="23" t="n">
        <v>3.5</v>
      </c>
      <c r="E17" s="14" t="n">
        <v>2</v>
      </c>
      <c r="F17" s="14" t="n">
        <v>1</v>
      </c>
      <c r="G17" s="14" t="n">
        <v>2</v>
      </c>
      <c r="H17" s="14" t="n"/>
      <c r="I17" s="14" t="n"/>
      <c r="J17" s="14" t="n"/>
      <c r="K17" s="14" t="n"/>
      <c r="L17" s="26">
        <f>SUM(D17:K17)</f>
        <v/>
      </c>
      <c r="M17" s="13">
        <f>COUNTIF(D17:K17,"&gt;=4.5")&amp;"-"&amp;COUNTIF(D17:K17,"&lt;4")&amp;"-"&amp;COUNTIF(D17:K17,"=4")</f>
        <v/>
      </c>
    </row>
    <row r="18" ht="12.95" customHeight="1" s="197" thickBot="1">
      <c r="A18" s="228" t="n">
        <v>16</v>
      </c>
      <c r="B18" s="25" t="inlineStr">
        <is>
          <t>William Bembenek</t>
        </is>
      </c>
      <c r="C18" s="24" t="inlineStr">
        <is>
          <t>Match Points</t>
        </is>
      </c>
      <c r="D18" s="23" t="n">
        <v>4.5</v>
      </c>
      <c r="E18" s="14" t="n">
        <v>7</v>
      </c>
      <c r="F18" s="14" t="n">
        <v>8</v>
      </c>
      <c r="G18" s="14" t="n">
        <v>2</v>
      </c>
      <c r="H18" s="14" t="n">
        <v>3</v>
      </c>
      <c r="I18" s="14" t="n">
        <v>5</v>
      </c>
      <c r="J18" s="14" t="n"/>
      <c r="K18" s="14" t="n"/>
      <c r="L18" s="26">
        <f>SUM(D18:K18)</f>
        <v/>
      </c>
      <c r="M18" s="13">
        <f>COUNTIF(D18:K18,"&gt;=4.5")&amp;"-"&amp;COUNTIF(D18:K18,"&lt;4")&amp;"-"&amp;COUNTIF(D18:K18,"=4")</f>
        <v/>
      </c>
    </row>
    <row r="19" ht="12.95" customHeight="1" s="197" thickBot="1">
      <c r="A19" s="228" t="n">
        <v>17</v>
      </c>
      <c r="B19" s="25" t="inlineStr">
        <is>
          <t>Brian Babecki</t>
        </is>
      </c>
      <c r="C19" s="24" t="inlineStr">
        <is>
          <t>Match Points</t>
        </is>
      </c>
      <c r="D19" s="23" t="n">
        <v>7</v>
      </c>
      <c r="E19" s="14" t="n">
        <v>4</v>
      </c>
      <c r="F19" s="14" t="n">
        <v>7</v>
      </c>
      <c r="G19" s="14" t="n">
        <v>5.5</v>
      </c>
      <c r="H19" s="14" t="n">
        <v>4</v>
      </c>
      <c r="I19" s="14" t="n"/>
      <c r="J19" s="14" t="n"/>
      <c r="K19" s="14" t="n"/>
      <c r="L19" s="26">
        <f>SUM(D19:K19)</f>
        <v/>
      </c>
      <c r="M19" s="13">
        <f>COUNTIF(D19:K19,"&gt;=4.5")&amp;"-"&amp;COUNTIF(D19:K19,"&lt;4")&amp;"-"&amp;COUNTIF(D19:K19,"=4")</f>
        <v/>
      </c>
    </row>
    <row r="20" ht="12.95" customHeight="1" s="197">
      <c r="A20" s="228" t="n">
        <v>18</v>
      </c>
      <c r="B20" s="25" t="inlineStr">
        <is>
          <t>Ariana Smith</t>
        </is>
      </c>
      <c r="C20" s="24" t="inlineStr">
        <is>
          <t>Match Points</t>
        </is>
      </c>
      <c r="D20" s="23" t="n">
        <v>1</v>
      </c>
      <c r="E20" s="14" t="n">
        <v>1</v>
      </c>
      <c r="F20" s="14" t="n">
        <v>2</v>
      </c>
      <c r="G20" s="14" t="n">
        <v>3</v>
      </c>
      <c r="H20" s="14" t="n"/>
      <c r="I20" s="14" t="n"/>
      <c r="J20" s="14" t="n"/>
      <c r="K20" s="14" t="n"/>
      <c r="L20" s="26">
        <f>SUM(D20:K20)</f>
        <v/>
      </c>
      <c r="M20" s="13">
        <f>COUNTIF(D20:K20,"&gt;=4.5")&amp;"-"&amp;COUNTIF(D20:K20,"&lt;4")&amp;"-"&amp;COUNTIF(D20:K20,"=4")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UoamheasL7ytNtxsgoyrvQ==" formatRows="1" sort="1" spinCount="100000" hashValue="8f0hVKIuYWjOtio8zQoseepxS74MBsPaZDx/VtRtGCvlAlZkWr0/h6BQy5RuEjOgeUzn/6PLztsCZSk7zo+QxA=="/>
  <pageMargins left="0.25" right="0.25" top="0.75" bottom="0.75" header="0.3" footer="0.3"/>
  <pageSetup orientation="landscape" paperSize="3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5"/>
  <sheetViews>
    <sheetView zoomScale="85" zoomScaleNormal="85" workbookViewId="0">
      <selection activeCell="F7" sqref="F7"/>
    </sheetView>
  </sheetViews>
  <sheetFormatPr baseColWidth="8" defaultRowHeight="12.75"/>
  <cols>
    <col width="18" bestFit="1" customWidth="1" style="197" min="1" max="1"/>
    <col width="27" bestFit="1" customWidth="1" style="196" min="2" max="2"/>
    <col width="27.7109375" bestFit="1" customWidth="1" style="197" min="3" max="3"/>
    <col width="30.7109375" bestFit="1" customWidth="1" style="197" min="4" max="4"/>
    <col width="28.5703125" bestFit="1" customWidth="1" style="197" min="5" max="5"/>
    <col width="25.140625" bestFit="1" customWidth="1" style="197" min="6" max="6"/>
    <col width="27.85546875" bestFit="1" customWidth="1" style="197" min="7" max="7"/>
    <col width="26.5703125" bestFit="1" customWidth="1" style="197" min="8" max="8"/>
    <col width="27" bestFit="1" customWidth="1" style="197" min="9" max="9"/>
    <col width="28.7109375" bestFit="1" customWidth="1" style="197" min="10" max="10"/>
    <col width="31.7109375" bestFit="1" customWidth="1" style="197" min="11" max="11"/>
    <col width="29.5703125" bestFit="1" customWidth="1" style="197" min="12" max="12"/>
    <col width="26.42578125" bestFit="1" customWidth="1" style="197" min="13" max="13"/>
  </cols>
  <sheetData>
    <row r="1" ht="23.25" customHeight="1" s="197">
      <c r="A1" s="193" t="inlineStr">
        <is>
          <t>2024 Bechtel Golf League Schedule Tee Time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 ht="30" customFormat="1" customHeight="1" s="228">
      <c r="A2" s="10" t="inlineStr">
        <is>
          <t>TEE TIME</t>
        </is>
      </c>
      <c r="B2" s="11" t="n">
        <v>45537</v>
      </c>
      <c r="C2" s="11" t="n">
        <v>45538</v>
      </c>
      <c r="D2" s="11" t="n">
        <v>45539</v>
      </c>
      <c r="E2" s="11" t="n">
        <v>45540</v>
      </c>
      <c r="F2" s="11" t="n">
        <v>45541</v>
      </c>
      <c r="G2" s="11" t="n">
        <v>45542</v>
      </c>
      <c r="H2" s="11" t="n">
        <v>45543</v>
      </c>
      <c r="I2" s="11" t="n">
        <v>45544</v>
      </c>
      <c r="J2" s="11" t="n">
        <v>45545</v>
      </c>
      <c r="K2" s="11" t="n">
        <v>45546</v>
      </c>
      <c r="L2" s="11" t="n">
        <v>45547</v>
      </c>
      <c r="M2" s="11" t="n">
        <v>45548</v>
      </c>
    </row>
    <row r="3" ht="15" customHeight="1" s="197">
      <c r="A3" s="8" t="n">
        <v>0.6666666666666666</v>
      </c>
      <c r="B3" s="9" t="n"/>
      <c r="C3" s="9" t="n"/>
      <c r="D3" s="9" t="inlineStr">
        <is>
          <t>3 vs 11</t>
        </is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 ht="15" customHeight="1" s="197">
      <c r="A4" s="8" t="n">
        <v>0.6736111111111112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30" customHeight="1" s="197">
      <c r="A5" s="8" t="n">
        <v>0.6805555555555556</v>
      </c>
      <c r="B5" s="9" t="n"/>
      <c r="C5" s="9" t="n"/>
      <c r="D5" s="9" t="inlineStr">
        <is>
          <t>7 vs 15, 2 vs 9 (makeup from Aug 19-30th)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15" customHeight="1" s="197">
      <c r="A6" s="8" t="n">
        <v>0.6875</v>
      </c>
      <c r="B6" s="9" t="n"/>
      <c r="C6" s="9" t="n"/>
      <c r="D6" s="9" t="n"/>
      <c r="E6" s="9" t="n"/>
      <c r="F6" s="9" t="n"/>
      <c r="G6" s="9" t="n"/>
      <c r="H6" s="9" t="n"/>
      <c r="I6" s="9" t="inlineStr">
        <is>
          <t>4 vs 13, 9 v 16</t>
        </is>
      </c>
      <c r="J6" s="9" t="n"/>
      <c r="K6" s="9" t="n"/>
      <c r="L6" s="9" t="n"/>
      <c r="M6" s="9" t="n"/>
    </row>
    <row r="7" ht="45" customHeight="1" s="197">
      <c r="A7" s="8" t="n">
        <v>0.6944444444444444</v>
      </c>
      <c r="B7" s="9" t="n"/>
      <c r="C7" s="9" t="n"/>
      <c r="D7" s="9" t="n"/>
      <c r="E7" s="9" t="inlineStr">
        <is>
          <t>4 vs 12 (makeup) booked for 4 if any group wants to join us.</t>
        </is>
      </c>
      <c r="F7" s="9" t="n"/>
      <c r="G7" s="9" t="n"/>
      <c r="H7" s="9" t="n"/>
      <c r="I7" s="9" t="n"/>
      <c r="J7" s="9" t="n"/>
      <c r="K7" s="9" t="n"/>
      <c r="L7" s="9" t="n"/>
      <c r="M7" s="9" t="n"/>
    </row>
    <row r="8" ht="15" customHeight="1" s="197">
      <c r="A8" s="8" t="n">
        <v>0.7013888888888888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5" customHeight="1" s="197">
      <c r="A9" s="8" t="n">
        <v>0.7083333333333334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15" customHeight="1" s="197">
      <c r="A10" s="8" t="n">
        <v>0.7152777777777778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5" customHeight="1" s="197">
      <c r="A11" s="8" t="n">
        <v>0.7222222222222222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15" customHeight="1" s="197">
      <c r="A12" s="8" t="n">
        <v>0.7291666666666666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15" customHeight="1" s="197">
      <c r="A13" s="8" t="n">
        <v>0.7361111111111112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15" customHeight="1" s="197">
      <c r="A14" s="8" t="n">
        <v>0.7430555555555556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15" customHeight="1" s="197">
      <c r="A15" s="8" t="n">
        <v>0.75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M15"/>
  <sheetViews>
    <sheetView topLeftCell="C2" zoomScale="67" zoomScaleNormal="90" workbookViewId="0">
      <selection activeCell="E8" sqref="E8"/>
    </sheetView>
  </sheetViews>
  <sheetFormatPr baseColWidth="8" defaultRowHeight="12.75"/>
  <cols>
    <col width="24.5703125" bestFit="1" customWidth="1" style="197" min="1" max="1"/>
    <col width="21.140625" bestFit="1" customWidth="1" style="196" min="2" max="2"/>
    <col width="21.7109375" bestFit="1" customWidth="1" style="197" min="3" max="3"/>
    <col width="24.5703125" bestFit="1" customWidth="1" style="197" min="4" max="4"/>
    <col width="22.28515625" bestFit="1" customWidth="1" style="197" min="5" max="5"/>
    <col width="19.5703125" bestFit="1" customWidth="1" style="197" min="6" max="6"/>
    <col hidden="1" width="22.140625" customWidth="1" style="197" min="7" max="7"/>
    <col hidden="1" width="20.7109375" customWidth="1" style="197" min="8" max="8"/>
    <col width="21" bestFit="1" customWidth="1" style="197" min="9" max="9"/>
    <col width="21.5703125" bestFit="1" customWidth="1" style="197" min="10" max="10"/>
    <col width="24.5703125" bestFit="1" customWidth="1" style="197" min="11" max="11"/>
    <col width="24.28515625" bestFit="1" customWidth="1" style="197" min="12" max="12"/>
    <col width="21.140625" bestFit="1" customWidth="1" style="197" min="13" max="13"/>
  </cols>
  <sheetData>
    <row r="1" ht="23.25" customHeight="1" s="197">
      <c r="A1" s="193" t="inlineStr">
        <is>
          <t>2024 Bechtel Golf League Schedule Tee Time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 ht="30" customFormat="1" customHeight="1" s="228">
      <c r="A2" s="10" t="inlineStr">
        <is>
          <t>TEE TIME</t>
        </is>
      </c>
      <c r="B2" s="11" t="n">
        <v>45495</v>
      </c>
      <c r="C2" s="11" t="n">
        <v>45496</v>
      </c>
      <c r="D2" s="11" t="n">
        <v>45497</v>
      </c>
      <c r="E2" s="11" t="n">
        <v>45498</v>
      </c>
      <c r="F2" s="11" t="n">
        <v>45499</v>
      </c>
      <c r="G2" s="11" t="n">
        <v>45500</v>
      </c>
      <c r="H2" s="11" t="n">
        <v>45501</v>
      </c>
      <c r="I2" s="11" t="n">
        <v>45502</v>
      </c>
      <c r="J2" s="11" t="n">
        <v>45503</v>
      </c>
      <c r="K2" s="11" t="n">
        <v>45504</v>
      </c>
      <c r="L2" s="11" t="n">
        <v>45505</v>
      </c>
      <c r="M2" s="11" t="n">
        <v>45506</v>
      </c>
    </row>
    <row r="3" ht="30" customHeight="1" s="197">
      <c r="A3" s="8" t="n">
        <v>0.6666666666666666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inlineStr">
        <is>
          <t>9 vs. 11, 1 vs 3</t>
        </is>
      </c>
      <c r="K3" s="9" t="n"/>
      <c r="L3" s="9" t="n"/>
      <c r="M3" s="9" t="n"/>
    </row>
    <row r="4" ht="30" customHeight="1" s="197">
      <c r="A4" s="8" t="n">
        <v>0.6736111111111112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30" customHeight="1" s="197">
      <c r="A5" s="8" t="n">
        <v>0.6805555555555556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30" customHeight="1" s="197">
      <c r="A6" s="8" t="n">
        <v>0.6875</v>
      </c>
      <c r="B6" s="9" t="n"/>
      <c r="C6" s="9" t="n"/>
      <c r="D6" s="9" t="inlineStr">
        <is>
          <t>6 vs 8 &amp; 14 vs 17</t>
        </is>
      </c>
      <c r="E6" s="9" t="n"/>
      <c r="F6" s="9" t="n"/>
      <c r="G6" s="9" t="n"/>
      <c r="H6" s="9" t="n"/>
      <c r="I6" s="9" t="n"/>
      <c r="J6" s="9" t="n"/>
      <c r="K6" s="9" t="inlineStr">
        <is>
          <t>13 vs 15</t>
        </is>
      </c>
      <c r="L6" s="9" t="n"/>
      <c r="M6" s="9" t="n"/>
    </row>
    <row r="7" ht="30" customHeight="1" s="197">
      <c r="A7" s="8" t="n">
        <v>0.6944444444444444</v>
      </c>
      <c r="B7" s="9" t="n"/>
      <c r="C7" s="9" t="inlineStr">
        <is>
          <t>5 vs 7, 10 vs 12</t>
        </is>
      </c>
      <c r="D7" s="9" t="n"/>
      <c r="E7" s="9" t="inlineStr">
        <is>
          <t>2 vs 4</t>
        </is>
      </c>
      <c r="F7" s="9" t="n"/>
      <c r="G7" s="9" t="n"/>
      <c r="H7" s="9" t="n"/>
      <c r="I7" s="9" t="n"/>
      <c r="J7" s="9" t="n"/>
      <c r="K7" s="9" t="n"/>
      <c r="L7" s="9" t="n"/>
      <c r="M7" s="9" t="n"/>
    </row>
    <row r="8" ht="30" customHeight="1" s="197">
      <c r="A8" s="8" t="n">
        <v>0.7013888888888888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30" customHeight="1" s="197">
      <c r="A9" s="8" t="n">
        <v>0.7083333333333334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30" customHeight="1" s="197">
      <c r="A10" s="8" t="n">
        <v>0.7152777777777778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30" customHeight="1" s="197">
      <c r="A11" s="8" t="n">
        <v>0.7222222222222222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30" customHeight="1" s="197">
      <c r="A12" s="8" t="n">
        <v>0.7291666666666666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30" customHeight="1" s="197">
      <c r="A13" s="8" t="n">
        <v>0.7361111111111112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30" customHeight="1" s="197">
      <c r="A14" s="8" t="n">
        <v>0.7430555555555556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30" customHeight="1" s="197">
      <c r="A15" s="8" t="n">
        <v>0.75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M15"/>
  <sheetViews>
    <sheetView zoomScale="85" zoomScaleNormal="85" workbookViewId="0">
      <selection activeCell="K4" sqref="K4"/>
    </sheetView>
  </sheetViews>
  <sheetFormatPr baseColWidth="8" defaultRowHeight="12.75"/>
  <cols>
    <col width="24.5703125" bestFit="1" customWidth="1" style="197" min="1" max="1"/>
    <col width="25.7109375" customWidth="1" style="196" min="2" max="2"/>
    <col width="25.7109375" customWidth="1" style="197" min="3" max="13"/>
  </cols>
  <sheetData>
    <row r="1" ht="23.25" customHeight="1" s="197">
      <c r="A1" s="193" t="inlineStr">
        <is>
          <t>2024 Bechtel Golf League Schedule Tee Time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 ht="30" customFormat="1" customHeight="1" s="228">
      <c r="A2" s="10" t="inlineStr">
        <is>
          <t>TEE TIME</t>
        </is>
      </c>
      <c r="B2" s="11" t="n">
        <v>45509</v>
      </c>
      <c r="C2" s="11" t="n">
        <v>45510</v>
      </c>
      <c r="D2" s="11" t="n">
        <v>45511</v>
      </c>
      <c r="E2" s="11" t="n">
        <v>45512</v>
      </c>
      <c r="F2" s="11" t="n">
        <v>45513</v>
      </c>
      <c r="G2" s="11" t="n">
        <v>45514</v>
      </c>
      <c r="H2" s="11" t="n">
        <v>45515</v>
      </c>
      <c r="I2" s="11" t="n">
        <v>45516</v>
      </c>
      <c r="J2" s="11" t="n">
        <v>45517</v>
      </c>
      <c r="K2" s="11" t="n">
        <v>45518</v>
      </c>
      <c r="L2" s="11" t="n">
        <v>45519</v>
      </c>
      <c r="M2" s="11" t="n">
        <v>45520</v>
      </c>
    </row>
    <row r="3" ht="30" customHeight="1" s="197">
      <c r="A3" s="8" t="n">
        <v>0.6666666666666666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inlineStr">
        <is>
          <t>10 vs 11</t>
        </is>
      </c>
      <c r="L3" s="9" t="n"/>
      <c r="M3" s="9" t="n"/>
    </row>
    <row r="4" ht="30" customHeight="1" s="197">
      <c r="A4" s="8" t="n">
        <v>0.6736111111111112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30" customHeight="1" s="197">
      <c r="A5" s="8" t="n">
        <v>0.6805555555555556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inlineStr">
        <is>
          <t>9 vs. 12</t>
        </is>
      </c>
      <c r="K5" s="9" t="n"/>
      <c r="L5" s="9" t="n"/>
      <c r="M5" s="9" t="n"/>
    </row>
    <row r="6" ht="30" customHeight="1" s="197">
      <c r="A6" s="8" t="n">
        <v>0.6875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inlineStr">
        <is>
          <t>5 vs 8 
6 vs 7</t>
        </is>
      </c>
      <c r="K6" s="9" t="n"/>
      <c r="L6" s="9" t="n"/>
      <c r="M6" s="9" t="n"/>
    </row>
    <row r="7" ht="30" customHeight="1" s="197">
      <c r="A7" s="8" t="n">
        <v>0.6944444444444444</v>
      </c>
      <c r="B7" s="9" t="n"/>
      <c r="C7" s="9" t="inlineStr">
        <is>
          <t>16 vs 18 (makeup from 7/22-8/2)</t>
        </is>
      </c>
      <c r="D7" s="9" t="n"/>
      <c r="E7" s="9" t="n"/>
      <c r="F7" s="9" t="n"/>
      <c r="G7" s="9" t="n"/>
      <c r="H7" s="9" t="n"/>
      <c r="I7" s="9" t="n"/>
      <c r="J7" s="9" t="inlineStr">
        <is>
          <t>13 vs. 16
14 vs. 18</t>
        </is>
      </c>
      <c r="K7" s="9" t="n"/>
      <c r="L7" s="9" t="n"/>
      <c r="M7" s="9" t="n"/>
    </row>
    <row r="8" ht="30" customHeight="1" s="197">
      <c r="A8" s="8" t="n">
        <v>0.7013888888888888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30" customHeight="1" s="197">
      <c r="A9" s="8" t="n">
        <v>0.7083333333333334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30" customHeight="1" s="197">
      <c r="A10" s="8" t="n">
        <v>0.7152777777777778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30" customHeight="1" s="197">
      <c r="A11" s="8" t="n">
        <v>0.7222222222222222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30" customHeight="1" s="197">
      <c r="A12" s="8" t="n">
        <v>0.7291666666666666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30" customHeight="1" s="197">
      <c r="A13" s="8" t="n">
        <v>0.7361111111111112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30" customHeight="1" s="197">
      <c r="A14" s="8" t="n">
        <v>0.7430555555555556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30" customHeight="1" s="197">
      <c r="A15" s="8" t="n">
        <v>0.75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M15"/>
  <sheetViews>
    <sheetView zoomScale="85" zoomScaleNormal="85" workbookViewId="0">
      <selection activeCell="E19" sqref="E19"/>
    </sheetView>
  </sheetViews>
  <sheetFormatPr baseColWidth="8" defaultRowHeight="12.75"/>
  <cols>
    <col width="18" bestFit="1" customWidth="1" style="197" min="1" max="1"/>
    <col width="24" bestFit="1" customWidth="1" style="196" min="2" max="2"/>
    <col width="24.5703125" bestFit="1" customWidth="1" style="197" min="3" max="3"/>
    <col width="27.5703125" bestFit="1" customWidth="1" style="197" min="4" max="4"/>
    <col width="25.42578125" bestFit="1" customWidth="1" style="197" min="5" max="5"/>
    <col width="22.140625" bestFit="1" customWidth="1" style="197" min="6" max="6"/>
    <col width="25" bestFit="1" customWidth="1" style="197" min="7" max="7"/>
    <col width="23.42578125" bestFit="1" customWidth="1" style="197" min="8" max="8"/>
    <col width="24" bestFit="1" customWidth="1" style="197" min="9" max="9"/>
    <col width="24.5703125" bestFit="1" customWidth="1" style="197" min="10" max="10"/>
    <col width="27.5703125" bestFit="1" customWidth="1" style="197" min="11" max="11"/>
    <col width="25.42578125" bestFit="1" customWidth="1" style="197" min="12" max="12"/>
    <col width="22.140625" bestFit="1" customWidth="1" style="197" min="13" max="13"/>
  </cols>
  <sheetData>
    <row r="1" ht="23.25" customHeight="1" s="197">
      <c r="A1" s="193" t="inlineStr">
        <is>
          <t>2024 Bechtel Golf League Schedule Tee Time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 ht="30" customFormat="1" customHeight="1" s="228">
      <c r="A2" s="10" t="inlineStr">
        <is>
          <t>TEE TIME</t>
        </is>
      </c>
      <c r="B2" s="11" t="n">
        <v>45523</v>
      </c>
      <c r="C2" s="11" t="n">
        <v>45524</v>
      </c>
      <c r="D2" s="11" t="n">
        <v>45525</v>
      </c>
      <c r="E2" s="11" t="n">
        <v>45526</v>
      </c>
      <c r="F2" s="11" t="n">
        <v>45527</v>
      </c>
      <c r="G2" s="11" t="n">
        <v>45528</v>
      </c>
      <c r="H2" s="11" t="n">
        <v>45529</v>
      </c>
      <c r="I2" s="11" t="n">
        <v>45530</v>
      </c>
      <c r="J2" s="11" t="n">
        <v>45531</v>
      </c>
      <c r="K2" s="11" t="n">
        <v>45532</v>
      </c>
      <c r="L2" s="11" t="n">
        <v>45533</v>
      </c>
      <c r="M2" s="11" t="n">
        <v>45534</v>
      </c>
    </row>
    <row r="3" ht="30" customHeight="1" s="197">
      <c r="A3" s="8" t="n">
        <v>0.6666666666666666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 ht="30" customHeight="1" s="197">
      <c r="A4" s="8" t="n">
        <v>0.6736111111111112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30" customHeight="1" s="197">
      <c r="A5" s="8" t="n">
        <v>0.6805555555555556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46.5" customHeight="1" s="197">
      <c r="A6" s="8" t="n">
        <v>0.6875</v>
      </c>
      <c r="B6" s="9" t="inlineStr">
        <is>
          <t>15 vs.17 (makeup from August 5th to 16th)</t>
        </is>
      </c>
      <c r="C6" s="9" t="inlineStr">
        <is>
          <t xml:space="preserve">18 vs 10 </t>
        </is>
      </c>
      <c r="D6" s="9" t="n"/>
      <c r="E6" s="9" t="inlineStr">
        <is>
          <t>8 vs 16</t>
        </is>
      </c>
      <c r="F6" s="9" t="n"/>
      <c r="G6" s="9" t="n"/>
      <c r="H6" s="9" t="n"/>
      <c r="I6" s="9" t="n"/>
      <c r="J6" s="9" t="n"/>
      <c r="L6" s="9" t="n"/>
      <c r="M6" s="9" t="n"/>
    </row>
    <row r="7" ht="30" customHeight="1" s="197">
      <c r="A7" s="8" t="n">
        <v>0.6944444444444444</v>
      </c>
      <c r="B7" s="9" t="n"/>
      <c r="C7" s="9" t="n"/>
      <c r="D7" s="9" t="inlineStr">
        <is>
          <t>1 vs 4 (makeup from Aug 5-16th)</t>
        </is>
      </c>
      <c r="E7" s="9" t="n"/>
      <c r="F7" s="9" t="n"/>
      <c r="G7" s="9" t="n"/>
      <c r="H7" s="9" t="n"/>
      <c r="I7" s="9" t="n"/>
      <c r="J7" s="9" t="n"/>
      <c r="K7" s="9" t="inlineStr">
        <is>
          <t xml:space="preserve">1 vs 5 </t>
        </is>
      </c>
      <c r="L7" s="9" t="n"/>
      <c r="M7" s="9" t="n"/>
    </row>
    <row r="8" ht="30" customHeight="1" s="197">
      <c r="A8" s="8" t="n">
        <v>0.7013888888888888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30" customHeight="1" s="197">
      <c r="A9" s="8" t="n">
        <v>0.7083333333333334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30" customHeight="1" s="197">
      <c r="A10" s="8" t="n">
        <v>0.7152777777777778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30" customHeight="1" s="197">
      <c r="A11" s="8" t="n">
        <v>0.7222222222222222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30" customHeight="1" s="197">
      <c r="A12" s="8" t="n">
        <v>0.7291666666666666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30" customHeight="1" s="197">
      <c r="A13" s="8" t="n">
        <v>0.7361111111111112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30" customHeight="1" s="197">
      <c r="A14" s="8" t="n">
        <v>0.7430555555555556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30" customHeight="1" s="197">
      <c r="A15" s="8" t="n">
        <v>0.75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M29"/>
  <sheetViews>
    <sheetView tabSelected="1" zoomScaleNormal="100" workbookViewId="0">
      <selection activeCell="H19" sqref="H19"/>
    </sheetView>
  </sheetViews>
  <sheetFormatPr baseColWidth="8" defaultRowHeight="12.75"/>
  <cols>
    <col width="18.28515625" bestFit="1" customWidth="1" style="197" min="2" max="2"/>
    <col width="18.5703125" customWidth="1" style="197" min="3" max="3"/>
    <col width="19.42578125" customWidth="1" style="197" min="4" max="4"/>
    <col width="19" bestFit="1" customWidth="1" style="197" min="5" max="5"/>
    <col width="20.28515625" customWidth="1" style="197" min="6" max="6"/>
    <col width="21.28515625" bestFit="1" customWidth="1" style="197" min="7" max="7"/>
    <col width="19" bestFit="1" customWidth="1" style="197" min="8" max="8"/>
    <col width="20.42578125" bestFit="1" customWidth="1" style="197" min="9" max="9"/>
    <col width="19.5703125" bestFit="1" customWidth="1" style="197" min="10" max="10"/>
  </cols>
  <sheetData>
    <row r="1" ht="23.25" customHeight="1" s="197">
      <c r="B1" s="195" t="inlineStr">
        <is>
          <t>2026 iCON Golf League Schedule</t>
        </is>
      </c>
      <c r="C1" s="194" t="n"/>
      <c r="D1" s="194" t="n"/>
      <c r="E1" s="194" t="n"/>
      <c r="F1" s="194" t="n"/>
      <c r="G1" s="194" t="n"/>
      <c r="H1" s="194" t="n"/>
      <c r="I1" s="194" t="n"/>
      <c r="J1" s="194" t="n"/>
    </row>
    <row r="2">
      <c r="B2" s="6" t="inlineStr">
        <is>
          <t>Round 1</t>
        </is>
      </c>
      <c r="C2" s="6" t="inlineStr">
        <is>
          <t>Round 2</t>
        </is>
      </c>
      <c r="D2" s="6" t="inlineStr">
        <is>
          <t>Round 3</t>
        </is>
      </c>
      <c r="E2" s="6" t="inlineStr">
        <is>
          <t>Round 4</t>
        </is>
      </c>
      <c r="F2" s="6" t="inlineStr">
        <is>
          <t>Round 5</t>
        </is>
      </c>
      <c r="G2" s="6" t="inlineStr">
        <is>
          <t>Round 6</t>
        </is>
      </c>
      <c r="H2" s="6" t="inlineStr">
        <is>
          <t>Round 7</t>
        </is>
      </c>
      <c r="I2" s="6" t="inlineStr">
        <is>
          <t>Round 8</t>
        </is>
      </c>
      <c r="J2" s="6" t="inlineStr">
        <is>
          <t>Round 9</t>
        </is>
      </c>
      <c r="K2" s="176" t="n"/>
      <c r="L2" s="177" t="n"/>
      <c r="M2" s="150" t="inlineStr">
        <is>
          <t>Finished Matchups</t>
        </is>
      </c>
    </row>
    <row r="3">
      <c r="A3" s="103" t="inlineStr">
        <is>
          <t>Dates</t>
        </is>
      </c>
      <c r="B3" s="6" t="inlineStr">
        <is>
          <t>April 20th - May 1st</t>
        </is>
      </c>
      <c r="C3" s="6" t="inlineStr">
        <is>
          <t>May 4th - May 15th</t>
        </is>
      </c>
      <c r="D3" s="6" t="inlineStr">
        <is>
          <t>May 18th - May 29th</t>
        </is>
      </c>
      <c r="E3" s="6" t="inlineStr">
        <is>
          <t>June 1st - June 12th</t>
        </is>
      </c>
      <c r="F3" s="6" t="inlineStr">
        <is>
          <t>June 15th - June 26th</t>
        </is>
      </c>
      <c r="G3" s="6" t="inlineStr">
        <is>
          <t>June 29th - July 10th</t>
        </is>
      </c>
      <c r="H3" s="6" t="inlineStr">
        <is>
          <t>July 13th - July 24th</t>
        </is>
      </c>
      <c r="I3" s="6" t="inlineStr">
        <is>
          <t>July 27th - August 7th</t>
        </is>
      </c>
      <c r="J3" s="6" t="inlineStr">
        <is>
          <t>Aug. 10th - Aug. 21st</t>
        </is>
      </c>
      <c r="L3" s="156" t="n"/>
      <c r="M3" s="150" t="inlineStr">
        <is>
          <t>Makeup Match</t>
        </is>
      </c>
    </row>
    <row r="4">
      <c r="B4" s="175" t="inlineStr">
        <is>
          <t>1 vs 2</t>
        </is>
      </c>
      <c r="C4" s="175" t="inlineStr">
        <is>
          <t>1 vs 3</t>
        </is>
      </c>
      <c r="D4" s="175" t="inlineStr">
        <is>
          <t>1 vs 4</t>
        </is>
      </c>
      <c r="E4" s="175" t="inlineStr">
        <is>
          <t>1 vs 5</t>
        </is>
      </c>
      <c r="F4" s="175" t="inlineStr">
        <is>
          <t>4 vs 5</t>
        </is>
      </c>
      <c r="G4" s="175" t="inlineStr">
        <is>
          <t>1 vs 8</t>
        </is>
      </c>
      <c r="H4" s="175" t="inlineStr">
        <is>
          <t>1 vs 10</t>
        </is>
      </c>
      <c r="I4" s="175" t="inlineStr">
        <is>
          <t>1 vs 6</t>
        </is>
      </c>
      <c r="J4" s="175" t="inlineStr">
        <is>
          <t>1 vs 9</t>
        </is>
      </c>
    </row>
    <row r="5">
      <c r="B5" s="1" t="inlineStr">
        <is>
          <t>3 vs 4</t>
        </is>
      </c>
      <c r="C5" s="1" t="inlineStr">
        <is>
          <t>2 vs 4</t>
        </is>
      </c>
      <c r="D5" s="1" t="inlineStr">
        <is>
          <t>2 vs 5</t>
        </is>
      </c>
      <c r="E5" s="1" t="inlineStr">
        <is>
          <t>2 vs 7</t>
        </is>
      </c>
      <c r="F5" s="1" t="inlineStr">
        <is>
          <t>6 vs 7</t>
        </is>
      </c>
      <c r="G5" s="1" t="inlineStr">
        <is>
          <t>2 vs 3</t>
        </is>
      </c>
      <c r="H5" s="1" t="inlineStr">
        <is>
          <t>2 vs 11</t>
        </is>
      </c>
      <c r="I5" s="3" t="inlineStr">
        <is>
          <t>2 vs 8</t>
        </is>
      </c>
      <c r="J5" s="1" t="inlineStr">
        <is>
          <t>2 vs 6</t>
        </is>
      </c>
    </row>
    <row r="6">
      <c r="B6" s="1" t="inlineStr">
        <is>
          <t>5 vs 6</t>
        </is>
      </c>
      <c r="C6" s="1" t="inlineStr">
        <is>
          <t>5 vs 7</t>
        </is>
      </c>
      <c r="D6" s="1" t="inlineStr">
        <is>
          <t>3 vs 6</t>
        </is>
      </c>
      <c r="E6" s="1" t="inlineStr">
        <is>
          <t>3 vs 8</t>
        </is>
      </c>
      <c r="F6" s="1" t="inlineStr">
        <is>
          <t>8 vs 9</t>
        </is>
      </c>
      <c r="G6" s="1" t="inlineStr">
        <is>
          <t>7 vs 10</t>
        </is>
      </c>
      <c r="H6" s="1" t="inlineStr">
        <is>
          <t>3 vs 12</t>
        </is>
      </c>
      <c r="I6" s="1" t="inlineStr">
        <is>
          <t>3 vs 5</t>
        </is>
      </c>
      <c r="J6" s="1" t="inlineStr">
        <is>
          <t>3 vs 7</t>
        </is>
      </c>
    </row>
    <row r="7">
      <c r="B7" s="1" t="inlineStr">
        <is>
          <t>7 vs 8</t>
        </is>
      </c>
      <c r="C7" s="1" t="inlineStr">
        <is>
          <t>6 vs 8</t>
        </is>
      </c>
      <c r="D7" s="1" t="inlineStr">
        <is>
          <t>7 vs 13</t>
        </is>
      </c>
      <c r="E7" s="1" t="inlineStr">
        <is>
          <t>4 vs 6</t>
        </is>
      </c>
      <c r="F7" s="1" t="inlineStr">
        <is>
          <t>10 vs 11</t>
        </is>
      </c>
      <c r="G7" s="1" t="inlineStr">
        <is>
          <t>9 vs 11</t>
        </is>
      </c>
      <c r="H7" s="1" t="inlineStr">
        <is>
          <t>4 vs 15</t>
        </is>
      </c>
      <c r="I7" s="1" t="inlineStr">
        <is>
          <t>4 vs 14</t>
        </is>
      </c>
      <c r="J7" s="1" t="inlineStr">
        <is>
          <t>4 vs 8</t>
        </is>
      </c>
    </row>
    <row r="8">
      <c r="B8" s="1" t="inlineStr">
        <is>
          <t>9 vs 10</t>
        </is>
      </c>
      <c r="C8" s="1" t="inlineStr">
        <is>
          <t>9 vs 12</t>
        </is>
      </c>
      <c r="D8" s="1" t="inlineStr">
        <is>
          <t>8 vs 15</t>
        </is>
      </c>
      <c r="E8" s="1" t="inlineStr">
        <is>
          <t>9 vs 13</t>
        </is>
      </c>
      <c r="F8" s="1" t="inlineStr">
        <is>
          <t>12 vs 15</t>
        </is>
      </c>
      <c r="G8" s="1" t="inlineStr">
        <is>
          <t>12 vs 14</t>
        </is>
      </c>
      <c r="H8" s="1" t="inlineStr">
        <is>
          <t>5 vs 14</t>
        </is>
      </c>
      <c r="I8" s="1" t="inlineStr">
        <is>
          <t>7 vs 11</t>
        </is>
      </c>
      <c r="J8" s="1" t="inlineStr">
        <is>
          <t>5 vs 12</t>
        </is>
      </c>
    </row>
    <row r="9">
      <c r="B9" s="1" t="inlineStr">
        <is>
          <t>12 vs 13</t>
        </is>
      </c>
      <c r="C9" s="1" t="inlineStr">
        <is>
          <t>10 vs 13</t>
        </is>
      </c>
      <c r="D9" s="1" t="inlineStr">
        <is>
          <t>9 vs 14</t>
        </is>
      </c>
      <c r="E9" s="1" t="inlineStr">
        <is>
          <t>10 vs 14</t>
        </is>
      </c>
      <c r="F9" s="1" t="inlineStr">
        <is>
          <t>13 vs 14</t>
        </is>
      </c>
      <c r="G9" s="1" t="inlineStr">
        <is>
          <t>13 vs 15</t>
        </is>
      </c>
      <c r="H9" s="1" t="inlineStr">
        <is>
          <t>6 vs 13</t>
        </is>
      </c>
      <c r="I9" s="3" t="inlineStr">
        <is>
          <t>9 vs 15</t>
        </is>
      </c>
      <c r="J9" s="1" t="inlineStr">
        <is>
          <t>10 vs 15</t>
        </is>
      </c>
    </row>
    <row r="10">
      <c r="B10" s="1" t="inlineStr">
        <is>
          <t>14 vs 15</t>
        </is>
      </c>
      <c r="C10" s="1" t="inlineStr">
        <is>
          <t>11 vs 14</t>
        </is>
      </c>
      <c r="D10" s="1" t="inlineStr">
        <is>
          <t>11 vs 12</t>
        </is>
      </c>
      <c r="E10" s="3" t="inlineStr">
        <is>
          <t>11 vs 15</t>
        </is>
      </c>
      <c r="F10" s="1" t="n"/>
      <c r="G10" s="3" t="n"/>
      <c r="H10" s="1" t="n"/>
      <c r="I10" s="3" t="inlineStr">
        <is>
          <t>10 vs 12</t>
        </is>
      </c>
      <c r="J10" s="3" t="inlineStr">
        <is>
          <t>11 vs 13</t>
        </is>
      </c>
    </row>
    <row r="11">
      <c r="A11" s="103" t="inlineStr">
        <is>
          <t>Byes</t>
        </is>
      </c>
      <c r="B11" s="3" t="n">
        <v>11</v>
      </c>
      <c r="C11" s="3" t="n">
        <v>15</v>
      </c>
      <c r="D11" s="3" t="n">
        <v>10</v>
      </c>
      <c r="E11" s="3" t="n">
        <v>12</v>
      </c>
      <c r="F11" s="3" t="inlineStr">
        <is>
          <t>1, 2, 3</t>
        </is>
      </c>
      <c r="G11" s="3" t="inlineStr">
        <is>
          <t>4, 5, 6</t>
        </is>
      </c>
      <c r="H11" s="3" t="inlineStr">
        <is>
          <t>7, 8, 9</t>
        </is>
      </c>
      <c r="I11" s="3" t="n">
        <v>13</v>
      </c>
      <c r="J11" s="3" t="n">
        <v>14</v>
      </c>
    </row>
    <row r="13">
      <c r="E13" s="196" t="n"/>
    </row>
    <row r="14">
      <c r="B14" s="2" t="inlineStr">
        <is>
          <t>#</t>
        </is>
      </c>
      <c r="C14" s="2" t="inlineStr">
        <is>
          <t>Players</t>
        </is>
      </c>
      <c r="D14" s="2" t="inlineStr">
        <is>
          <t>Handicaps</t>
        </is>
      </c>
      <c r="E14" s="2" t="inlineStr">
        <is>
          <t>Tees</t>
        </is>
      </c>
      <c r="F14" s="2" t="inlineStr">
        <is>
          <t>Paid?</t>
        </is>
      </c>
    </row>
    <row r="15">
      <c r="B15" s="5" t="n">
        <v>1</v>
      </c>
      <c r="C15" s="53" t="inlineStr">
        <is>
          <t>Brian Wojcio</t>
        </is>
      </c>
      <c r="D15" s="73" t="n">
        <v>12</v>
      </c>
      <c r="E15" s="106" t="inlineStr">
        <is>
          <t>Mens</t>
        </is>
      </c>
      <c r="F15" s="3" t="n"/>
    </row>
    <row r="16" ht="13.5" customHeight="1" s="197">
      <c r="B16" s="5" t="n">
        <v>2</v>
      </c>
      <c r="C16" s="104" t="inlineStr">
        <is>
          <t>Ethan High</t>
        </is>
      </c>
      <c r="D16" s="105" t="n">
        <v>12</v>
      </c>
      <c r="E16" s="106" t="inlineStr">
        <is>
          <t>Mens</t>
        </is>
      </c>
      <c r="F16" s="3" t="inlineStr">
        <is>
          <t>Yes - Cash</t>
        </is>
      </c>
    </row>
    <row r="17" ht="13.5" customHeight="1" s="197">
      <c r="B17" s="5">
        <f>B16+1</f>
        <v/>
      </c>
      <c r="C17" s="53" t="inlineStr">
        <is>
          <t>Rob Bass</t>
        </is>
      </c>
      <c r="D17" s="105" t="n">
        <v>15</v>
      </c>
      <c r="E17" s="106" t="inlineStr">
        <is>
          <t>Mens</t>
        </is>
      </c>
      <c r="F17" s="3" t="inlineStr">
        <is>
          <t>Yes - Cash</t>
        </is>
      </c>
    </row>
    <row r="18" ht="13.5" customHeight="1" s="197">
      <c r="B18" s="5">
        <f>B17+1</f>
        <v/>
      </c>
      <c r="C18" s="53" t="inlineStr">
        <is>
          <t>Carson Bass</t>
        </is>
      </c>
      <c r="D18" s="105" t="n">
        <v>24</v>
      </c>
      <c r="E18" s="106" t="inlineStr">
        <is>
          <t>Mens</t>
        </is>
      </c>
      <c r="F18" s="3" t="inlineStr">
        <is>
          <t>Yes - Venmo</t>
        </is>
      </c>
    </row>
    <row r="19">
      <c r="B19" s="5">
        <f>B18+1</f>
        <v/>
      </c>
      <c r="C19" s="107" t="inlineStr">
        <is>
          <t>Michael McHugh</t>
        </is>
      </c>
      <c r="D19" s="108" t="n">
        <v>25</v>
      </c>
      <c r="E19" s="106" t="inlineStr">
        <is>
          <t>Mens</t>
        </is>
      </c>
      <c r="F19" s="3" t="n"/>
    </row>
    <row r="20" ht="13.5" customHeight="1" s="197">
      <c r="B20" s="5">
        <f>B19+1</f>
        <v/>
      </c>
      <c r="C20" s="53" t="inlineStr">
        <is>
          <t>Bruce Atkins</t>
        </is>
      </c>
      <c r="D20" s="105" t="n">
        <v>24</v>
      </c>
      <c r="E20" s="106" t="inlineStr">
        <is>
          <t>Mens</t>
        </is>
      </c>
      <c r="F20" s="3" t="inlineStr">
        <is>
          <t>Yes - Venmo</t>
        </is>
      </c>
      <c r="G20" s="4" t="n"/>
    </row>
    <row r="21" ht="13.5" customHeight="1" s="197">
      <c r="B21" s="5">
        <f>B20+1</f>
        <v/>
      </c>
      <c r="C21" s="53" t="inlineStr">
        <is>
          <t>Alex Palmer</t>
        </is>
      </c>
      <c r="D21" s="105" t="n">
        <v>30</v>
      </c>
      <c r="E21" s="106" t="inlineStr">
        <is>
          <t>Mens</t>
        </is>
      </c>
      <c r="F21" s="3" t="inlineStr">
        <is>
          <t>Yes - Venmo</t>
        </is>
      </c>
    </row>
    <row r="22" ht="13.5" customHeight="1" s="197">
      <c r="B22" s="5">
        <f>B21+1</f>
        <v/>
      </c>
      <c r="C22" s="53" t="inlineStr">
        <is>
          <t>Curtis Lynn</t>
        </is>
      </c>
      <c r="D22" s="105" t="n">
        <v>28</v>
      </c>
      <c r="E22" s="106" t="inlineStr">
        <is>
          <t>Mens</t>
        </is>
      </c>
      <c r="F22" s="3" t="inlineStr">
        <is>
          <t>Yes - Cash</t>
        </is>
      </c>
    </row>
    <row r="23">
      <c r="B23" s="5">
        <f>B22+1</f>
        <v/>
      </c>
      <c r="C23" s="53" t="inlineStr">
        <is>
          <t>Preston Stoner</t>
        </is>
      </c>
      <c r="D23" s="73" t="n">
        <v>28</v>
      </c>
      <c r="E23" s="106" t="inlineStr">
        <is>
          <t>Mens</t>
        </is>
      </c>
      <c r="F23" s="3" t="inlineStr">
        <is>
          <t>Yes - Cash</t>
        </is>
      </c>
    </row>
    <row r="24" ht="13.5" customHeight="1" s="197">
      <c r="B24" s="5">
        <f>B23+1</f>
        <v/>
      </c>
      <c r="C24" s="53" t="inlineStr">
        <is>
          <t>Charlotte Hayes</t>
        </is>
      </c>
      <c r="D24" s="105" t="n">
        <v>20</v>
      </c>
      <c r="E24" s="106" t="inlineStr">
        <is>
          <t>Mens</t>
        </is>
      </c>
      <c r="F24" s="3" t="inlineStr">
        <is>
          <t>Yes - Venmo</t>
        </is>
      </c>
      <c r="G24" s="4" t="n"/>
    </row>
    <row r="25">
      <c r="B25" s="5">
        <f>B24+1</f>
        <v/>
      </c>
      <c r="C25" s="107" t="inlineStr">
        <is>
          <t>David Maddox</t>
        </is>
      </c>
      <c r="D25" s="108" t="n">
        <v>36</v>
      </c>
      <c r="E25" s="106" t="inlineStr">
        <is>
          <t>Mens</t>
        </is>
      </c>
      <c r="F25" s="3" t="inlineStr">
        <is>
          <t>Yes - Venmo</t>
        </is>
      </c>
    </row>
    <row r="26" ht="13.5" customHeight="1" s="197">
      <c r="B26" s="5">
        <f>B25+1</f>
        <v/>
      </c>
      <c r="C26" s="53" t="inlineStr">
        <is>
          <t>Jerome Martin</t>
        </is>
      </c>
      <c r="D26" s="105" t="n">
        <v>36</v>
      </c>
      <c r="E26" s="106" t="inlineStr">
        <is>
          <t>Mens</t>
        </is>
      </c>
      <c r="F26" s="3" t="inlineStr">
        <is>
          <t>Yes - Venmo</t>
        </is>
      </c>
    </row>
    <row r="27">
      <c r="B27" s="5">
        <f>B26+1</f>
        <v/>
      </c>
      <c r="C27" s="53" t="inlineStr">
        <is>
          <t>Kaylan Adams</t>
        </is>
      </c>
      <c r="D27" s="73" t="n">
        <v>36</v>
      </c>
      <c r="E27" s="106" t="inlineStr">
        <is>
          <t>Mens</t>
        </is>
      </c>
      <c r="F27" s="3" t="inlineStr">
        <is>
          <t>Yes - Venmo</t>
        </is>
      </c>
    </row>
    <row r="28" ht="13.5" customHeight="1" s="197">
      <c r="B28" s="5">
        <f>B27+1</f>
        <v/>
      </c>
      <c r="C28" s="53" t="inlineStr">
        <is>
          <t>Megan Serian</t>
        </is>
      </c>
      <c r="D28" s="105" t="n">
        <v>36</v>
      </c>
      <c r="E28" s="106" t="inlineStr">
        <is>
          <t>Womens</t>
        </is>
      </c>
      <c r="F28" s="3" t="inlineStr">
        <is>
          <t>Yes - Venmo</t>
        </is>
      </c>
    </row>
    <row r="29" ht="13.5" customHeight="1" s="197">
      <c r="B29" s="5">
        <f>B28+1</f>
        <v/>
      </c>
      <c r="C29" s="53" t="inlineStr">
        <is>
          <t>Nick Coglianese</t>
        </is>
      </c>
      <c r="D29" s="105" t="n">
        <v>36</v>
      </c>
      <c r="E29" s="106" t="inlineStr">
        <is>
          <t>Mens</t>
        </is>
      </c>
      <c r="F29" s="3" t="n"/>
    </row>
  </sheetData>
  <mergeCells count="2">
    <mergeCell ref="B1:J1"/>
    <mergeCell ref="E13:F13"/>
  </mergeCells>
  <conditionalFormatting sqref="B5:B11">
    <cfRule type="expression" priority="4" dxfId="3">
      <formula>COUNTIF(B$5:B$11, B5) &gt; 1</formula>
    </cfRule>
  </conditionalFormatting>
  <conditionalFormatting sqref="B4:J10">
    <cfRule type="expression" priority="12" dxfId="2">
      <formula>COUNTIF($B$5:$I$10, B4) &gt; 1</formula>
    </cfRule>
  </conditionalFormatting>
  <dataValidations count="1">
    <dataValidation sqref="E15:E29" showDropDown="0" showInputMessage="1" showErrorMessage="1" allowBlank="1" type="list">
      <formula1>"Mens, Womens"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B1:AI46"/>
  <sheetViews>
    <sheetView topLeftCell="K1" zoomScale="85" zoomScaleNormal="85" workbookViewId="0">
      <selection activeCell="C6" sqref="C6"/>
    </sheetView>
  </sheetViews>
  <sheetFormatPr baseColWidth="8" defaultRowHeight="12.75"/>
  <cols>
    <col width="12" customWidth="1" style="197" min="2" max="2"/>
    <col width="17" bestFit="1" customWidth="1" style="197" min="3" max="3"/>
    <col width="11.85546875" customWidth="1" style="197" min="4" max="4"/>
    <col width="9.140625" customWidth="1" style="197" min="6" max="8"/>
    <col width="11" bestFit="1" customWidth="1" style="197" min="9" max="9"/>
    <col width="9.140625" customWidth="1" style="197" min="10" max="10"/>
    <col width="14" bestFit="1" customWidth="1" style="197" min="11" max="11"/>
    <col width="15.5703125" bestFit="1" customWidth="1" style="197" min="12" max="12"/>
    <col width="13.5703125" bestFit="1" customWidth="1" style="197" min="13" max="13"/>
    <col width="13.5703125" customWidth="1" style="197" min="14" max="15"/>
    <col width="12.5703125" customWidth="1" style="197" min="16" max="35"/>
  </cols>
  <sheetData>
    <row r="1">
      <c r="P1" s="209" t="inlineStr">
        <is>
          <t>Reston National</t>
        </is>
      </c>
    </row>
    <row r="2" ht="13.5" customHeight="1" s="197" thickBot="1">
      <c r="P2" s="209" t="inlineStr">
        <is>
          <t>Round 1</t>
        </is>
      </c>
      <c r="Q2" s="209" t="inlineStr">
        <is>
          <t>Round 2</t>
        </is>
      </c>
      <c r="R2" s="209" t="inlineStr">
        <is>
          <t>Round 3</t>
        </is>
      </c>
      <c r="S2" s="209" t="inlineStr">
        <is>
          <t>Round 4</t>
        </is>
      </c>
      <c r="T2" s="209" t="inlineStr">
        <is>
          <t>Round 5</t>
        </is>
      </c>
      <c r="U2" s="209" t="inlineStr">
        <is>
          <t>Round 6</t>
        </is>
      </c>
      <c r="V2" s="209" t="inlineStr">
        <is>
          <t>Round 7</t>
        </is>
      </c>
      <c r="W2" s="209" t="inlineStr">
        <is>
          <t>Round 8</t>
        </is>
      </c>
      <c r="X2" s="209" t="inlineStr">
        <is>
          <t>Round 9</t>
        </is>
      </c>
      <c r="Y2" s="209" t="inlineStr">
        <is>
          <t>Round 10</t>
        </is>
      </c>
      <c r="Z2" s="209" t="inlineStr">
        <is>
          <t>Round 11</t>
        </is>
      </c>
      <c r="AA2" s="209" t="inlineStr">
        <is>
          <t>Round 12</t>
        </is>
      </c>
      <c r="AB2" s="209" t="inlineStr">
        <is>
          <t>Round 13</t>
        </is>
      </c>
      <c r="AC2" s="209" t="inlineStr">
        <is>
          <t>Round 14</t>
        </is>
      </c>
      <c r="AD2" s="209" t="inlineStr">
        <is>
          <t>Round 15</t>
        </is>
      </c>
      <c r="AE2" s="209" t="inlineStr">
        <is>
          <t>Round 16</t>
        </is>
      </c>
      <c r="AF2" s="209" t="inlineStr">
        <is>
          <t>Round 17</t>
        </is>
      </c>
      <c r="AG2" s="209" t="inlineStr">
        <is>
          <t>Round 18</t>
        </is>
      </c>
      <c r="AH2" s="209" t="inlineStr">
        <is>
          <t>Round 19</t>
        </is>
      </c>
      <c r="AI2" s="209" t="inlineStr">
        <is>
          <t>Round 20</t>
        </is>
      </c>
    </row>
    <row r="3" ht="13.5" customHeight="1" s="197" thickBot="1">
      <c r="B3" s="2" t="inlineStr">
        <is>
          <t>Mens</t>
        </is>
      </c>
      <c r="C3" s="2" t="inlineStr">
        <is>
          <t>Slope</t>
        </is>
      </c>
      <c r="D3" s="2" t="inlineStr">
        <is>
          <t>Rating</t>
        </is>
      </c>
      <c r="F3" s="79" t="inlineStr">
        <is>
          <t>Name</t>
        </is>
      </c>
      <c r="G3" s="210" t="inlineStr">
        <is>
          <t>Tees</t>
        </is>
      </c>
      <c r="H3" s="211" t="n"/>
      <c r="I3" s="210" t="inlineStr">
        <is>
          <t>USGA Initial</t>
        </is>
      </c>
      <c r="J3" s="210" t="inlineStr">
        <is>
          <t>Initial</t>
        </is>
      </c>
      <c r="K3" s="210" t="inlineStr">
        <is>
          <t>Initial Handicap</t>
        </is>
      </c>
      <c r="L3" s="210" t="inlineStr">
        <is>
          <t>Course Handicap</t>
        </is>
      </c>
      <c r="M3" s="210" t="inlineStr">
        <is>
          <t>Live Handicap</t>
        </is>
      </c>
      <c r="N3" s="99" t="inlineStr">
        <is>
          <t>Live Course</t>
        </is>
      </c>
      <c r="O3" s="81" t="inlineStr">
        <is>
          <t>Rounds Played</t>
        </is>
      </c>
      <c r="P3" s="94" t="inlineStr">
        <is>
          <t>Gross Score</t>
        </is>
      </c>
      <c r="Q3" s="94" t="inlineStr">
        <is>
          <t>Gross Score</t>
        </is>
      </c>
      <c r="R3" s="94" t="inlineStr">
        <is>
          <t>Gross Score</t>
        </is>
      </c>
      <c r="S3" s="94" t="inlineStr">
        <is>
          <t>Gross Score</t>
        </is>
      </c>
      <c r="T3" s="94" t="inlineStr">
        <is>
          <t>Gross Score</t>
        </is>
      </c>
      <c r="U3" s="94" t="inlineStr">
        <is>
          <t>Gross Score</t>
        </is>
      </c>
      <c r="V3" s="94" t="inlineStr">
        <is>
          <t>Gross Score</t>
        </is>
      </c>
      <c r="W3" s="94" t="inlineStr">
        <is>
          <t>Gross Score</t>
        </is>
      </c>
      <c r="X3" s="94" t="inlineStr">
        <is>
          <t>Gross Score</t>
        </is>
      </c>
      <c r="Y3" s="94" t="inlineStr">
        <is>
          <t>Gross Score</t>
        </is>
      </c>
      <c r="Z3" s="94" t="inlineStr">
        <is>
          <t>Gross Score</t>
        </is>
      </c>
      <c r="AA3" s="94" t="inlineStr">
        <is>
          <t>Gross Score</t>
        </is>
      </c>
      <c r="AB3" s="94" t="inlineStr">
        <is>
          <t>Gross Score</t>
        </is>
      </c>
      <c r="AC3" s="94" t="inlineStr">
        <is>
          <t>Gross Score</t>
        </is>
      </c>
      <c r="AD3" s="94" t="inlineStr">
        <is>
          <t>Gross Score</t>
        </is>
      </c>
      <c r="AE3" s="94" t="inlineStr">
        <is>
          <t>Gross Score</t>
        </is>
      </c>
      <c r="AF3" s="94" t="inlineStr">
        <is>
          <t>Gross Score</t>
        </is>
      </c>
      <c r="AG3" s="94" t="inlineStr">
        <is>
          <t>Gross Score</t>
        </is>
      </c>
      <c r="AH3" s="94" t="inlineStr">
        <is>
          <t>Gross Score</t>
        </is>
      </c>
      <c r="AI3" s="94" t="inlineStr">
        <is>
          <t>Gross Score</t>
        </is>
      </c>
    </row>
    <row r="4">
      <c r="B4" s="42" t="inlineStr">
        <is>
          <t>Black</t>
        </is>
      </c>
      <c r="C4" s="43" t="n">
        <v>70.09999999999999</v>
      </c>
      <c r="D4" s="43" t="n">
        <v>130</v>
      </c>
      <c r="F4" s="205" t="inlineStr">
        <is>
          <t>Ethan</t>
        </is>
      </c>
      <c r="G4" s="198">
        <f>VLOOKUP($F4,Schedule!$C$15:$E$29,3)</f>
        <v/>
      </c>
      <c r="H4" s="198">
        <f>VLOOKUP($F4,Schedule!$C$15:$E$29,4)</f>
        <v/>
      </c>
      <c r="I4" s="208" t="n">
        <v>13</v>
      </c>
      <c r="J4" s="198">
        <f>I4+36</f>
        <v/>
      </c>
      <c r="K4" s="201" t="n">
        <v>13</v>
      </c>
      <c r="L4" s="201">
        <f t="array" ref="L4">_xlfn.IFS($G4="Mens",ROUNDUP($K4*(VLOOKUP($H4,$B$4:$D$7,3)/113),0),$G4="Womens",ROUNDUP($K4*(VLOOKUP($H4,$B$10:$D$12,3)/113),0))</f>
        <v/>
      </c>
      <c r="M4" s="201">
        <f t="array" ref="M4">ROUNDUP(_xlfn.IFS(O4&lt;=$B$20,MIN(P6:AI6),AND(O4&gt;=$B$21,O4&lt;=$B$23),AVERAGE(SMALL(P6:AI6,{1,2})),AND(O4&gt;=$B$24,O4&lt;=$B$26),AVERAGE(SMALL(P6:AI6,{1,2,3})),AND(O4&gt;=$B$27,O4&lt;=$B$29),AVERAGE(SMALL(P6:AI6,{1,2,3,4})),AND(O4&gt;=$B$30,O4&lt;=$B$31),AVERAGE(SMALL(P6:AI6,{1,2,3,4,5})),AND(O4&gt;=$B$32,O4&lt;=$B$33),AVERAGE(SMALL(P6:AI6,{1,2,3,4,5,6})),AND(O4=$B$34),AVERAGE(SMALL(P6:AI6,{1,2,3,4,5,6,7})),AND(O4=$B$35),AVERAGE(SMALL(P6:AI6,{1,2,3,4,5,6,7,8})))+VLOOKUP(O4,$B$16:$D$35,3),0)</f>
        <v/>
      </c>
      <c r="N4" s="201">
        <f t="array" ref="N4">ROUNDUP(_xlfn.IFS($G4="Mens",ROUNDUP(M4*(VLOOKUP($H4,$B$4:$D$7,3)/113),1),$G4="Womens",ROUNDUP(M4*(VLOOKUP($H4,$B$10:$D$12,3)/113),1)),0)</f>
        <v/>
      </c>
      <c r="O4" s="202">
        <f>COUNT(P4:AI4)</f>
        <v/>
      </c>
      <c r="P4" s="95" t="n">
        <v>48</v>
      </c>
      <c r="Q4" s="95" t="n">
        <v>49</v>
      </c>
      <c r="R4" s="95" t="n">
        <v>46</v>
      </c>
      <c r="S4" s="95" t="n">
        <v>48</v>
      </c>
      <c r="T4" s="95" t="n">
        <v>50</v>
      </c>
      <c r="U4" s="95" t="n">
        <v>48</v>
      </c>
      <c r="V4" s="95" t="n">
        <v>48</v>
      </c>
      <c r="W4" s="95" t="n">
        <v>48</v>
      </c>
      <c r="X4" s="95" t="n"/>
      <c r="Y4" s="95" t="n"/>
      <c r="Z4" s="95" t="n"/>
      <c r="AA4" s="95" t="n"/>
      <c r="AB4" s="95" t="n"/>
      <c r="AC4" s="95" t="n"/>
      <c r="AD4" s="95" t="n"/>
      <c r="AE4" s="95" t="n"/>
      <c r="AF4" s="95" t="n"/>
      <c r="AG4" s="95" t="n"/>
      <c r="AH4" s="95" t="n"/>
      <c r="AI4" s="95" t="n"/>
    </row>
    <row r="5">
      <c r="B5" s="44" t="inlineStr">
        <is>
          <t>Blue</t>
        </is>
      </c>
      <c r="C5" s="43" t="n">
        <v>68.09999999999999</v>
      </c>
      <c r="D5" s="43" t="n">
        <v>126</v>
      </c>
      <c r="F5" s="206" t="n"/>
      <c r="G5" s="199" t="n"/>
      <c r="H5" s="199" t="n"/>
      <c r="I5" s="199" t="n"/>
      <c r="J5" s="199" t="n"/>
      <c r="K5" s="199" t="n"/>
      <c r="L5" s="199" t="n"/>
      <c r="M5" s="199" t="n"/>
      <c r="N5" s="199" t="n"/>
      <c r="O5" s="203" t="n"/>
      <c r="P5" s="96" t="inlineStr">
        <is>
          <t>USGA Diff.</t>
        </is>
      </c>
      <c r="Q5" s="96" t="inlineStr">
        <is>
          <t>USGA Diff.</t>
        </is>
      </c>
      <c r="R5" s="96" t="inlineStr">
        <is>
          <t>USGA Diff.</t>
        </is>
      </c>
      <c r="S5" s="96" t="inlineStr">
        <is>
          <t>USGA Diff.</t>
        </is>
      </c>
      <c r="T5" s="96" t="inlineStr">
        <is>
          <t>USGA Diff.</t>
        </is>
      </c>
      <c r="U5" s="96" t="inlineStr">
        <is>
          <t>USGA Diff.</t>
        </is>
      </c>
      <c r="V5" s="96" t="inlineStr">
        <is>
          <t>USGA Diff.</t>
        </is>
      </c>
      <c r="W5" s="96" t="inlineStr">
        <is>
          <t>USGA Diff.</t>
        </is>
      </c>
      <c r="X5" s="96" t="inlineStr">
        <is>
          <t>USGA Diff.</t>
        </is>
      </c>
      <c r="Y5" s="96" t="inlineStr">
        <is>
          <t>USGA Diff.</t>
        </is>
      </c>
      <c r="Z5" s="96" t="inlineStr">
        <is>
          <t>USGA Diff.</t>
        </is>
      </c>
      <c r="AA5" s="96" t="inlineStr">
        <is>
          <t>USGA Diff.</t>
        </is>
      </c>
      <c r="AB5" s="96" t="inlineStr">
        <is>
          <t>USGA Diff.</t>
        </is>
      </c>
      <c r="AC5" s="96" t="inlineStr">
        <is>
          <t>USGA Diff.</t>
        </is>
      </c>
      <c r="AD5" s="96" t="inlineStr">
        <is>
          <t>USGA Diff.</t>
        </is>
      </c>
      <c r="AE5" s="96" t="inlineStr">
        <is>
          <t>USGA Diff.</t>
        </is>
      </c>
      <c r="AF5" s="96" t="inlineStr">
        <is>
          <t>USGA Diff.</t>
        </is>
      </c>
      <c r="AG5" s="96" t="inlineStr">
        <is>
          <t>USGA Diff.</t>
        </is>
      </c>
      <c r="AH5" s="96" t="inlineStr">
        <is>
          <t>USGA Diff.</t>
        </is>
      </c>
      <c r="AI5" s="96" t="inlineStr">
        <is>
          <t>USGA Diff.</t>
        </is>
      </c>
    </row>
    <row r="6" ht="13.5" customHeight="1" s="197" thickBot="1">
      <c r="B6" s="42" t="inlineStr">
        <is>
          <t>Blue/White</t>
        </is>
      </c>
      <c r="C6" s="43" t="n">
        <v>65.5</v>
      </c>
      <c r="D6" s="43" t="n">
        <v>120</v>
      </c>
      <c r="F6" s="207" t="n"/>
      <c r="G6" s="200" t="n"/>
      <c r="H6" s="200" t="n"/>
      <c r="I6" s="200" t="n"/>
      <c r="J6" s="200" t="n"/>
      <c r="K6" s="200" t="n"/>
      <c r="L6" s="200" t="n"/>
      <c r="M6" s="200" t="n"/>
      <c r="N6" s="200" t="n"/>
      <c r="O6" s="204" t="n"/>
      <c r="P6" s="97">
        <f t="array" ref="P6">IF(P4="","",_xlfn.IFS($G4="Mens",(P4-(VLOOKUP($H4,$B$4:$D$7,2)/2))/VLOOKUP($H4,$B$4:$D$7,3)*113,$G4="Womens",(P4-(VLOOKUP($H4,$B$10:$D$12,2)/2))/VLOOKUP($H4,$B$10:$D$12,3)*113))</f>
        <v/>
      </c>
      <c r="Q6" s="97">
        <f t="array" ref="Q6">IF(Q4="","",_xlfn.IFS($G4="Mens",(Q4-(VLOOKUP($H4,$B$4:$D$7,2)/2))/VLOOKUP($H4,$B$4:$D$7,3)*113,$G4="Womens",(Q4-(VLOOKUP($H4,$B$10:$D$12,2)/2))/VLOOKUP($H4,$B$10:$D$12,3)*113))</f>
        <v/>
      </c>
      <c r="R6" s="97">
        <f t="array" ref="R6">IF(R4="","",_xlfn.IFS($G4="Mens",(R4-(VLOOKUP($H4,$B$4:$D$7,2)/2))/VLOOKUP($H4,$B$4:$D$7,3)*113,$G4="Womens",(R4-(VLOOKUP($H4,$B$10:$D$12,2)/2))/VLOOKUP($H4,$B$10:$D$12,3)*113))</f>
        <v/>
      </c>
      <c r="S6" s="97">
        <f t="array" ref="S6">IF(S4="","",_xlfn.IFS($G4="Mens",(S4-(VLOOKUP($H4,$B$4:$D$7,2)/2))/VLOOKUP($H4,$B$4:$D$7,3)*113,$G4="Womens",(S4-(VLOOKUP($H4,$B$10:$D$12,2)/2))/VLOOKUP($H4,$B$10:$D$12,3)*113))</f>
        <v/>
      </c>
      <c r="T6" s="97">
        <f t="array" ref="T6">IF(T4="","",_xlfn.IFS($G4="Mens",(T4-(VLOOKUP($H4,$B$4:$D$7,2)/2))/VLOOKUP($H4,$B$4:$D$7,3)*113,$G4="Womens",(T4-(VLOOKUP($H4,$B$10:$D$12,2)/2))/VLOOKUP($H4,$B$10:$D$12,3)*113))</f>
        <v/>
      </c>
      <c r="U6" s="97">
        <f t="array" ref="U6">IF(U4="","",_xlfn.IFS($G4="Mens",(U4-(VLOOKUP($H4,$B$4:$D$7,2)/2))/VLOOKUP($H4,$B$4:$D$7,3)*113,$G4="Womens",(U4-(VLOOKUP($H4,$B$10:$D$12,2)/2))/VLOOKUP($H4,$B$10:$D$12,3)*113))</f>
        <v/>
      </c>
      <c r="V6" s="97">
        <f t="array" ref="V6">IF(V4="","",_xlfn.IFS($G4="Mens",(V4-(VLOOKUP($H4,$B$4:$D$7,2)/2))/VLOOKUP($H4,$B$4:$D$7,3)*113,$G4="Womens",(V4-(VLOOKUP($H4,$B$10:$D$12,2)/2))/VLOOKUP($H4,$B$10:$D$12,3)*113))</f>
        <v/>
      </c>
      <c r="W6" s="97">
        <f t="array" ref="W6">IF(W4="","",_xlfn.IFS($G4="Mens",(W4-(VLOOKUP($H4,$B$4:$D$7,2)/2))/VLOOKUP($H4,$B$4:$D$7,3)*113,$G4="Womens",(W4-(VLOOKUP($H4,$B$10:$D$12,2)/2))/VLOOKUP($H4,$B$10:$D$12,3)*113))</f>
        <v/>
      </c>
      <c r="X6" s="97">
        <f t="array" ref="X6">IF(X4="","",_xlfn.IFS($G4="Mens",(X4-(VLOOKUP($H4,$B$4:$D$7,2)/2))/VLOOKUP($H4,$B$4:$D$7,3)*113,$G4="Womens",(X4-(VLOOKUP($H4,$B$10:$D$12,2)/2))/VLOOKUP($H4,$B$10:$D$12,3)*113))</f>
        <v/>
      </c>
      <c r="Y6" s="97">
        <f t="array" ref="Y6">IF(Y4="","",_xlfn.IFS($G4="Mens",(Y4-(VLOOKUP($H4,$B$4:$D$7,2)/2))/VLOOKUP($H4,$B$4:$D$7,3)*113,$G4="Womens",(Y4-(VLOOKUP($H4,$B$10:$D$12,2)/2))/VLOOKUP($H4,$B$10:$D$12,3)*113))</f>
        <v/>
      </c>
      <c r="Z6" s="97">
        <f t="array" ref="Z6">IF(Z4="","",_xlfn.IFS($G4="Mens",(Z4-(VLOOKUP($H4,$B$4:$D$7,2)/2))/VLOOKUP($H4,$B$4:$D$7,3)*113,$G4="Womens",(Z4-(VLOOKUP($H4,$B$10:$D$12,2)/2))/VLOOKUP($H4,$B$10:$D$12,3)*113))</f>
        <v/>
      </c>
      <c r="AA6" s="97">
        <f t="array" ref="AA6">IF(AA4="","",_xlfn.IFS($G4="Mens",(AA4-(VLOOKUP($H4,$B$4:$D$7,2)/2))/VLOOKUP($H4,$B$4:$D$7,3)*113,$G4="Womens",(AA4-(VLOOKUP($H4,$B$10:$D$12,2)/2))/VLOOKUP($H4,$B$10:$D$12,3)*113))</f>
        <v/>
      </c>
      <c r="AB6" s="97">
        <f t="array" ref="AB6">IF(AB4="","",_xlfn.IFS($G4="Mens",(AB4-(VLOOKUP($H4,$B$4:$D$7,2)/2))/VLOOKUP($H4,$B$4:$D$7,3)*113,$G4="Womens",(AB4-(VLOOKUP($H4,$B$10:$D$12,2)/2))/VLOOKUP($H4,$B$10:$D$12,3)*113))</f>
        <v/>
      </c>
      <c r="AC6" s="97">
        <f t="array" ref="AC6">IF(AC4="","",_xlfn.IFS($G4="Mens",(AC4-(VLOOKUP($H4,$B$4:$D$7,2)/2))/VLOOKUP($H4,$B$4:$D$7,3)*113,$G4="Womens",(AC4-(VLOOKUP($H4,$B$10:$D$12,2)/2))/VLOOKUP($H4,$B$10:$D$12,3)*113))</f>
        <v/>
      </c>
      <c r="AD6" s="97">
        <f t="array" ref="AD6">IF(AD4="","",_xlfn.IFS($G4="Mens",(AD4-(VLOOKUP($H4,$B$4:$D$7,2)/2))/VLOOKUP($H4,$B$4:$D$7,3)*113,$G4="Womens",(AD4-(VLOOKUP($H4,$B$10:$D$12,2)/2))/VLOOKUP($H4,$B$10:$D$12,3)*113))</f>
        <v/>
      </c>
      <c r="AE6" s="97">
        <f t="array" ref="AE6">IF(AE4="","",_xlfn.IFS($G4="Mens",(AE4-(VLOOKUP($H4,$B$4:$D$7,2)/2))/VLOOKUP($H4,$B$4:$D$7,3)*113,$G4="Womens",(AE4-(VLOOKUP($H4,$B$10:$D$12,2)/2))/VLOOKUP($H4,$B$10:$D$12,3)*113))</f>
        <v/>
      </c>
      <c r="AF6" s="97">
        <f t="array" ref="AF6">IF(AF4="","",_xlfn.IFS($G4="Mens",(AF4-(VLOOKUP($H4,$B$4:$D$7,2)/2))/VLOOKUP($H4,$B$4:$D$7,3)*113,$G4="Womens",(AF4-(VLOOKUP($H4,$B$10:$D$12,2)/2))/VLOOKUP($H4,$B$10:$D$12,3)*113))</f>
        <v/>
      </c>
      <c r="AG6" s="97">
        <f t="array" ref="AG6">IF(AG4="","",_xlfn.IFS($G4="Mens",(AG4-(VLOOKUP($H4,$B$4:$D$7,2)/2))/VLOOKUP($H4,$B$4:$D$7,3)*113,$G4="Womens",(AG4-(VLOOKUP($H4,$B$10:$D$12,2)/2))/VLOOKUP($H4,$B$10:$D$12,3)*113))</f>
        <v/>
      </c>
      <c r="AH6" s="97">
        <f t="array" ref="AH6">IF(AH4="","",_xlfn.IFS($G4="Mens",(AH4-(VLOOKUP($H4,$B$4:$D$7,2)/2))/VLOOKUP($H4,$B$4:$D$7,3)*113,$G4="Womens",(AH4-(VLOOKUP($H4,$B$10:$D$12,2)/2))/VLOOKUP($H4,$B$10:$D$12,3)*113))</f>
        <v/>
      </c>
      <c r="AI6" s="97">
        <f t="array" ref="AI6">IF(AI4="","",_xlfn.IFS($G4="Mens",(AI4-(VLOOKUP($H4,$B$4:$D$7,2)/2))/VLOOKUP($H4,$B$4:$D$7,3)*113,$G4="Womens",(AI4-(VLOOKUP($H4,$B$10:$D$12,2)/2))/VLOOKUP($H4,$B$10:$D$12,3)*113))</f>
        <v/>
      </c>
    </row>
    <row r="7">
      <c r="B7" s="45" t="inlineStr">
        <is>
          <t>White</t>
        </is>
      </c>
      <c r="C7" s="43" t="n">
        <v>64</v>
      </c>
      <c r="D7" s="43" t="n">
        <v>116</v>
      </c>
      <c r="L7" s="98" t="n"/>
    </row>
    <row r="8">
      <c r="B8" s="228" t="n"/>
      <c r="C8" s="228" t="n"/>
      <c r="D8" s="228" t="n"/>
    </row>
    <row r="9">
      <c r="B9" s="2" t="inlineStr">
        <is>
          <t>Womens</t>
        </is>
      </c>
      <c r="C9" s="2" t="inlineStr">
        <is>
          <t>Slope</t>
        </is>
      </c>
      <c r="D9" s="2" t="inlineStr">
        <is>
          <t>Rating</t>
        </is>
      </c>
    </row>
    <row r="10">
      <c r="B10" s="44" t="inlineStr">
        <is>
          <t>Blue</t>
        </is>
      </c>
      <c r="C10" s="43" t="n">
        <v>73.40000000000001</v>
      </c>
      <c r="D10" s="43" t="n">
        <v>131</v>
      </c>
    </row>
    <row r="11">
      <c r="B11" s="42" t="inlineStr">
        <is>
          <t>Blue/White</t>
        </is>
      </c>
      <c r="C11" s="43" t="n">
        <v>70.2</v>
      </c>
      <c r="D11" s="43" t="n">
        <v>124</v>
      </c>
    </row>
    <row r="12">
      <c r="B12" s="45" t="inlineStr">
        <is>
          <t>White</t>
        </is>
      </c>
      <c r="C12" s="43" t="n">
        <v>68.3</v>
      </c>
      <c r="D12" s="43" t="n">
        <v>120</v>
      </c>
    </row>
    <row r="14" ht="13.5" customHeight="1" s="197" thickBot="1"/>
    <row r="15" ht="25.5" customHeight="1" s="197">
      <c r="B15" s="82" t="inlineStr">
        <is>
          <t># of Score Differentials</t>
        </is>
      </c>
      <c r="C15" s="83" t="inlineStr">
        <is>
          <t>Handicap Index Calculation</t>
        </is>
      </c>
      <c r="D15" s="84" t="inlineStr">
        <is>
          <t>Adjustment</t>
        </is>
      </c>
    </row>
    <row r="16">
      <c r="B16" s="36" t="n">
        <v>1</v>
      </c>
      <c r="C16" s="77" t="inlineStr">
        <is>
          <t>Lowest differential</t>
        </is>
      </c>
      <c r="D16" s="38" t="n">
        <v>-2</v>
      </c>
    </row>
    <row r="17">
      <c r="B17" s="36" t="n">
        <v>2</v>
      </c>
      <c r="C17" s="77" t="inlineStr">
        <is>
          <t>Lowest differential</t>
        </is>
      </c>
      <c r="D17" s="38" t="n">
        <v>-2</v>
      </c>
    </row>
    <row r="18">
      <c r="B18" s="36" t="n">
        <v>3</v>
      </c>
      <c r="C18" s="77" t="inlineStr">
        <is>
          <t>Lowest differential</t>
        </is>
      </c>
      <c r="D18" s="38" t="n">
        <v>-2</v>
      </c>
    </row>
    <row r="19">
      <c r="B19" s="36" t="n">
        <v>4</v>
      </c>
      <c r="C19" s="77" t="inlineStr">
        <is>
          <t>Lowest differential</t>
        </is>
      </c>
      <c r="D19" s="38" t="n">
        <v>-1</v>
      </c>
    </row>
    <row r="20" ht="13.5" customHeight="1" s="197" thickBot="1">
      <c r="B20" s="39" t="n">
        <v>5</v>
      </c>
      <c r="C20" s="85" t="inlineStr">
        <is>
          <t>Lowest differential</t>
        </is>
      </c>
      <c r="D20" s="41" t="n">
        <v>0</v>
      </c>
    </row>
    <row r="21">
      <c r="B21" s="86" t="n">
        <v>6</v>
      </c>
      <c r="C21" s="87" t="inlineStr">
        <is>
          <t>Average of lowest 2</t>
        </is>
      </c>
      <c r="D21" s="88" t="n">
        <v>-1</v>
      </c>
    </row>
    <row r="22">
      <c r="B22" s="36" t="n">
        <v>7</v>
      </c>
      <c r="C22" s="77" t="inlineStr">
        <is>
          <t>Average of lowest 2</t>
        </is>
      </c>
      <c r="D22" s="38" t="n">
        <v>0</v>
      </c>
    </row>
    <row r="23" ht="13.5" customHeight="1" s="197" thickBot="1">
      <c r="B23" s="39" t="n">
        <v>8</v>
      </c>
      <c r="C23" s="85" t="inlineStr">
        <is>
          <t>Average of lowest 2</t>
        </is>
      </c>
      <c r="D23" s="41" t="n">
        <v>0</v>
      </c>
    </row>
    <row r="24">
      <c r="B24" s="86" t="n">
        <v>9</v>
      </c>
      <c r="C24" s="87" t="inlineStr">
        <is>
          <t>Average of lowest 3</t>
        </is>
      </c>
      <c r="D24" s="88" t="n">
        <v>0</v>
      </c>
    </row>
    <row r="25">
      <c r="B25" s="36" t="n">
        <v>10</v>
      </c>
      <c r="C25" s="77" t="inlineStr">
        <is>
          <t>Average of lowest 3</t>
        </is>
      </c>
      <c r="D25" s="38" t="n">
        <v>0</v>
      </c>
      <c r="K25" s="101" t="n"/>
    </row>
    <row r="26" ht="13.5" customHeight="1" s="197" thickBot="1">
      <c r="B26" s="39" t="n">
        <v>11</v>
      </c>
      <c r="C26" s="85" t="inlineStr">
        <is>
          <t>Average of lowest 3</t>
        </is>
      </c>
      <c r="D26" s="41" t="n">
        <v>0</v>
      </c>
    </row>
    <row r="27">
      <c r="B27" s="86" t="n">
        <v>12</v>
      </c>
      <c r="C27" s="87" t="inlineStr">
        <is>
          <t>Average of lowest 4</t>
        </is>
      </c>
      <c r="D27" s="88" t="n">
        <v>0</v>
      </c>
    </row>
    <row r="28">
      <c r="B28" s="36" t="n">
        <v>13</v>
      </c>
      <c r="C28" s="77" t="inlineStr">
        <is>
          <t>Average of lowest 4</t>
        </is>
      </c>
      <c r="D28" s="38" t="n">
        <v>0</v>
      </c>
    </row>
    <row r="29" ht="13.5" customHeight="1" s="197" thickBot="1">
      <c r="B29" s="39" t="n">
        <v>14</v>
      </c>
      <c r="C29" s="85" t="inlineStr">
        <is>
          <t>Average of lowest 4</t>
        </is>
      </c>
      <c r="D29" s="41" t="n">
        <v>0</v>
      </c>
    </row>
    <row r="30">
      <c r="B30" s="86" t="n">
        <v>15</v>
      </c>
      <c r="C30" s="87" t="inlineStr">
        <is>
          <t>Average of lowest 5</t>
        </is>
      </c>
      <c r="D30" s="88" t="n">
        <v>0</v>
      </c>
    </row>
    <row r="31" ht="13.5" customHeight="1" s="197" thickBot="1">
      <c r="B31" s="39" t="n">
        <v>16</v>
      </c>
      <c r="C31" s="85" t="inlineStr">
        <is>
          <t>Average of lowest 5</t>
        </is>
      </c>
      <c r="D31" s="41" t="n">
        <v>0</v>
      </c>
    </row>
    <row r="32">
      <c r="B32" s="86" t="n">
        <v>17</v>
      </c>
      <c r="C32" s="87" t="inlineStr">
        <is>
          <t>Average of lowest 6</t>
        </is>
      </c>
      <c r="D32" s="88" t="n">
        <v>0</v>
      </c>
    </row>
    <row r="33" ht="13.5" customHeight="1" s="197" thickBot="1">
      <c r="B33" s="39" t="n">
        <v>18</v>
      </c>
      <c r="C33" s="85" t="inlineStr">
        <is>
          <t>Average of lowest 6</t>
        </is>
      </c>
      <c r="D33" s="41" t="n">
        <v>0</v>
      </c>
    </row>
    <row r="34" ht="13.5" customHeight="1" s="197" thickBot="1">
      <c r="B34" s="205" t="n">
        <v>19</v>
      </c>
      <c r="C34" s="92" t="inlineStr">
        <is>
          <t>Average of lowest 7</t>
        </is>
      </c>
      <c r="D34" s="202" t="n">
        <v>0</v>
      </c>
    </row>
    <row r="35" ht="13.5" customHeight="1" s="197" thickBot="1">
      <c r="B35" s="89" t="n">
        <v>20</v>
      </c>
      <c r="C35" s="200" t="inlineStr">
        <is>
          <t>Average of lowest 8</t>
        </is>
      </c>
      <c r="D35" s="78" t="n">
        <v>0</v>
      </c>
    </row>
    <row r="38">
      <c r="B38" s="100" t="inlineStr">
        <is>
          <t>1-5</t>
        </is>
      </c>
      <c r="C38" s="102">
        <f>IF(O4&lt;=$B$20,MIN(P6:AI6),"N/A")</f>
        <v/>
      </c>
    </row>
    <row r="39">
      <c r="B39" s="100" t="inlineStr">
        <is>
          <t>6-8</t>
        </is>
      </c>
      <c r="C39">
        <f t="array" ref="C39">IF(AND(O4&gt;=$B$21,O4&lt;=$B$23),AVERAGE(SMALL(P6:AI6,{1,2})),"N/A")</f>
        <v/>
      </c>
    </row>
    <row r="40">
      <c r="B40" s="100" t="inlineStr">
        <is>
          <t>9-11</t>
        </is>
      </c>
      <c r="C40">
        <f t="array" ref="C40">IF(AND(O4&gt;=$B$24,O4&lt;=$B$26),AVERAGE(SMALL(P6:AI6,{1,2,3})),"N/A")</f>
        <v/>
      </c>
    </row>
    <row r="41">
      <c r="B41" s="100" t="inlineStr">
        <is>
          <t>12-14</t>
        </is>
      </c>
      <c r="C41">
        <f t="array" ref="C41">IF(AND(O4&gt;=$B$27,O4&lt;=$B$29),AVERAGE(SMALL(P6:AI6,{1,2,3,4})),"N/A")</f>
        <v/>
      </c>
    </row>
    <row r="42">
      <c r="B42" s="100" t="inlineStr">
        <is>
          <t>15-16</t>
        </is>
      </c>
      <c r="C42">
        <f t="array" ref="C42">IF(AND(O4&gt;=$B$30,O4&lt;=$B$31),AVERAGE(SMALL(P6:AI6,{1,2,3,4,5})),"N/A")</f>
        <v/>
      </c>
    </row>
    <row r="43">
      <c r="B43" s="100" t="inlineStr">
        <is>
          <t>17-18</t>
        </is>
      </c>
      <c r="C43">
        <f t="array" ref="C43">IF(AND(O4&gt;=$B$32,O4&lt;=$B$33),AVERAGE(SMALL(P6:AI6,{1,2,3,4,5,6})),"N/A")</f>
        <v/>
      </c>
    </row>
    <row r="44">
      <c r="B44" s="101" t="n">
        <v>19</v>
      </c>
      <c r="C44">
        <f t="array" ref="C44">IF(AND(O4=$B$34),AVERAGE(SMALL(P6:AI6,{1,2,3,4,5,6,7})),"N/A")</f>
        <v/>
      </c>
    </row>
    <row r="45">
      <c r="B45" s="101" t="n">
        <v>20</v>
      </c>
      <c r="C45">
        <f t="array" ref="C45">IF(AND(O4=$B$35),AVERAGE(SMALL(P6:AI6,{1,2,3,4,5,6,7,8})),"N/A")</f>
        <v/>
      </c>
    </row>
    <row r="46">
      <c r="B46" s="101" t="inlineStr">
        <is>
          <t>Adjustment</t>
        </is>
      </c>
      <c r="C46">
        <f>VLOOKUP(O4,$B$16:$D$35,3)</f>
        <v/>
      </c>
    </row>
  </sheetData>
  <mergeCells count="12">
    <mergeCell ref="J4:J6"/>
    <mergeCell ref="H4:H6"/>
    <mergeCell ref="N4:N6"/>
    <mergeCell ref="L4:L6"/>
    <mergeCell ref="K4:K6"/>
    <mergeCell ref="O4:O6"/>
    <mergeCell ref="M4:M6"/>
    <mergeCell ref="F4:F6"/>
    <mergeCell ref="I4:I6"/>
    <mergeCell ref="P1:W1"/>
    <mergeCell ref="G3:H3"/>
    <mergeCell ref="G4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9">
    <outlinePr summaryBelow="1" summaryRight="1"/>
    <pageSetUpPr fitToPage="1"/>
  </sheetPr>
  <dimension ref="A1:S32"/>
  <sheetViews>
    <sheetView zoomScale="115" zoomScaleNormal="115" workbookViewId="0">
      <selection activeCell="B19" sqref="B19:B20"/>
    </sheetView>
  </sheetViews>
  <sheetFormatPr baseColWidth="8" defaultColWidth="9.140625" defaultRowHeight="12.75"/>
  <cols>
    <col width="3.140625" customWidth="1" style="228" min="1" max="1"/>
    <col width="18" bestFit="1" customWidth="1" style="228" min="2" max="2"/>
    <col width="12.140625" bestFit="1" customWidth="1" style="228" min="3" max="3"/>
    <col width="9.140625" customWidth="1" style="228" min="4" max="12"/>
    <col width="11.5703125" customWidth="1" style="228" min="13" max="15"/>
    <col width="9.140625" customWidth="1" style="228" min="16" max="17"/>
    <col width="14.85546875" customWidth="1" style="228" min="18" max="19"/>
    <col width="9.140625" customWidth="1" style="228" min="20" max="36"/>
    <col width="9.140625" customWidth="1" style="228" min="37" max="16384"/>
  </cols>
  <sheetData>
    <row r="1" ht="13.5" customHeight="1" s="197" thickBot="1">
      <c r="N1" s="229" t="inlineStr">
        <is>
          <t>Tiebreakers</t>
        </is>
      </c>
      <c r="O1" s="191" t="n"/>
      <c r="P1" s="21" t="n"/>
    </row>
    <row r="2" ht="41.45" customHeight="1" s="197" thickBot="1">
      <c r="B2" s="20" t="inlineStr">
        <is>
          <t>Name</t>
        </is>
      </c>
      <c r="C2" s="22" t="n"/>
      <c r="D2" s="28" t="inlineStr">
        <is>
          <t>Round 1</t>
        </is>
      </c>
      <c r="E2" s="152" t="inlineStr">
        <is>
          <t>Round 2</t>
        </is>
      </c>
      <c r="F2" s="152" t="inlineStr">
        <is>
          <t>Round 3</t>
        </is>
      </c>
      <c r="G2" s="152" t="inlineStr">
        <is>
          <t>Round 4</t>
        </is>
      </c>
      <c r="H2" s="152" t="inlineStr">
        <is>
          <t>Round 5</t>
        </is>
      </c>
      <c r="I2" s="152" t="inlineStr">
        <is>
          <t>Round 6</t>
        </is>
      </c>
      <c r="J2" s="152" t="inlineStr">
        <is>
          <t>Round 7</t>
        </is>
      </c>
      <c r="K2" s="152" t="inlineStr">
        <is>
          <t>Round 8</t>
        </is>
      </c>
      <c r="L2" s="174" t="inlineStr">
        <is>
          <t>Round 9</t>
        </is>
      </c>
      <c r="M2" s="151" t="inlineStr">
        <is>
          <t>League Total Score</t>
        </is>
      </c>
      <c r="N2" s="15" t="inlineStr">
        <is>
          <t>Match Record</t>
        </is>
      </c>
      <c r="O2" s="29" t="inlineStr">
        <is>
          <t>Average NET Score</t>
        </is>
      </c>
    </row>
    <row r="3" ht="12.95" customHeight="1" s="197" thickBot="1">
      <c r="A3" s="228" t="n">
        <v>1</v>
      </c>
      <c r="B3" s="216">
        <f>Schedule!C15</f>
        <v/>
      </c>
      <c r="C3" s="157" t="inlineStr">
        <is>
          <t>Match Points</t>
        </is>
      </c>
      <c r="D3" s="158" t="n">
        <v>2</v>
      </c>
      <c r="E3" s="220" t="n">
        <v>4</v>
      </c>
      <c r="F3" s="220" t="n">
        <v>8</v>
      </c>
      <c r="G3" s="220" t="n">
        <v>3.5</v>
      </c>
      <c r="H3" s="220" t="n"/>
      <c r="I3" s="220" t="n"/>
      <c r="J3" s="220" t="n"/>
      <c r="K3" s="220" t="n"/>
      <c r="L3" s="160" t="n"/>
      <c r="M3" s="222" t="n">
        <v>17.5</v>
      </c>
      <c r="N3" s="220" t="inlineStr">
        <is>
          <t>1-2-1</t>
        </is>
      </c>
      <c r="O3" s="230" t="n">
        <v>39</v>
      </c>
      <c r="Q3" s="231" t="inlineStr">
        <is>
          <t>Playoffs</t>
        </is>
      </c>
      <c r="R3" s="232" t="n"/>
      <c r="S3" s="179" t="n"/>
    </row>
    <row r="4" ht="13.5" customHeight="1" s="197" thickBot="1">
      <c r="B4" s="217" t="n"/>
      <c r="C4" s="161" t="inlineStr">
        <is>
          <t>NET Score</t>
        </is>
      </c>
      <c r="D4" s="162" t="n">
        <v>43</v>
      </c>
      <c r="E4" s="163" t="n">
        <v>40</v>
      </c>
      <c r="F4" s="163" t="n">
        <v>34</v>
      </c>
      <c r="G4" s="163" t="n">
        <v>39</v>
      </c>
      <c r="H4" s="163" t="n"/>
      <c r="I4" s="163" t="n"/>
      <c r="J4" s="163" t="n"/>
      <c r="K4" s="163" t="n"/>
      <c r="L4" s="164" t="n"/>
      <c r="M4" s="223" t="n"/>
      <c r="N4" s="219" t="n"/>
      <c r="O4" s="213" t="n"/>
      <c r="Q4" s="224" t="inlineStr">
        <is>
          <t>Seed</t>
        </is>
      </c>
      <c r="R4" s="26" t="inlineStr">
        <is>
          <t>Player</t>
        </is>
      </c>
      <c r="S4" s="32" t="inlineStr">
        <is>
          <t>Total Score</t>
        </is>
      </c>
    </row>
    <row r="5" ht="12.95" customHeight="1" s="197">
      <c r="A5" s="228" t="n">
        <v>2</v>
      </c>
      <c r="B5" s="221">
        <f>Schedule!C16</f>
        <v/>
      </c>
      <c r="C5" s="24" t="inlineStr">
        <is>
          <t>Match Points</t>
        </is>
      </c>
      <c r="D5" s="165" t="n">
        <v>6</v>
      </c>
      <c r="E5" s="166" t="n">
        <v>7</v>
      </c>
      <c r="F5" s="166" t="n">
        <v>7</v>
      </c>
      <c r="G5" s="166" t="n">
        <v>7</v>
      </c>
      <c r="H5" s="166" t="n"/>
      <c r="I5" s="166" t="n">
        <v>5</v>
      </c>
      <c r="J5" s="166" t="n"/>
      <c r="K5" s="166" t="n">
        <v>7</v>
      </c>
      <c r="L5" s="167" t="n"/>
      <c r="M5" s="226" t="n">
        <v>39</v>
      </c>
      <c r="N5" s="218" t="inlineStr">
        <is>
          <t>6-0-0</t>
        </is>
      </c>
      <c r="O5" s="212" t="n">
        <v>37</v>
      </c>
      <c r="Q5" s="33" t="n">
        <v>1</v>
      </c>
      <c r="R5" s="34" t="n"/>
      <c r="S5" s="35" t="n"/>
    </row>
    <row r="6" ht="13.5" customHeight="1" s="197" thickBot="1">
      <c r="B6" s="215" t="n"/>
      <c r="C6" s="168" t="inlineStr">
        <is>
          <t>NET Score</t>
        </is>
      </c>
      <c r="D6" s="169" t="n">
        <v>39</v>
      </c>
      <c r="E6" s="170" t="n">
        <v>36</v>
      </c>
      <c r="F6" s="170" t="n">
        <v>35</v>
      </c>
      <c r="G6" s="170" t="n">
        <v>42</v>
      </c>
      <c r="H6" s="170" t="n"/>
      <c r="I6" s="170" t="n">
        <v>37</v>
      </c>
      <c r="J6" s="170" t="n"/>
      <c r="K6" s="170" t="n">
        <v>33</v>
      </c>
      <c r="L6" s="171" t="n"/>
      <c r="M6" s="223" t="n"/>
      <c r="N6" s="219" t="n"/>
      <c r="O6" s="213" t="n"/>
      <c r="Q6" s="36" t="n">
        <v>2</v>
      </c>
      <c r="R6" s="37" t="n"/>
      <c r="S6" s="38" t="n"/>
    </row>
    <row r="7" ht="12.95" customHeight="1" s="197">
      <c r="A7" s="228" t="n">
        <v>3</v>
      </c>
      <c r="B7" s="214">
        <f>Schedule!C17</f>
        <v/>
      </c>
      <c r="C7" s="157" t="inlineStr">
        <is>
          <t>Match Points</t>
        </is>
      </c>
      <c r="D7" s="158" t="n">
        <v>1</v>
      </c>
      <c r="E7" s="220" t="n">
        <v>4</v>
      </c>
      <c r="F7" s="220" t="n"/>
      <c r="G7" s="220" t="n"/>
      <c r="H7" s="220" t="n"/>
      <c r="I7" s="220" t="n">
        <v>3</v>
      </c>
      <c r="J7" s="220" t="n"/>
      <c r="K7" s="220" t="n"/>
      <c r="L7" s="160" t="n"/>
      <c r="M7" s="222" t="n">
        <v>8</v>
      </c>
      <c r="N7" s="220" t="inlineStr">
        <is>
          <t>0-2-1</t>
        </is>
      </c>
      <c r="O7" s="230" t="n">
        <v>40</v>
      </c>
      <c r="Q7" s="33" t="n">
        <v>3</v>
      </c>
      <c r="R7" s="34" t="n"/>
      <c r="S7" s="35" t="n"/>
    </row>
    <row r="8" ht="13.5" customHeight="1" s="197" thickBot="1">
      <c r="B8" s="215" t="n"/>
      <c r="C8" s="161" t="inlineStr">
        <is>
          <t>NET Score</t>
        </is>
      </c>
      <c r="D8" s="162" t="n">
        <v>43</v>
      </c>
      <c r="E8" s="163" t="n">
        <v>39</v>
      </c>
      <c r="F8" s="163" t="n"/>
      <c r="G8" s="163" t="n"/>
      <c r="H8" s="163" t="n"/>
      <c r="I8" s="163" t="n">
        <v>38</v>
      </c>
      <c r="J8" s="163" t="n"/>
      <c r="K8" s="163" t="n"/>
      <c r="L8" s="164" t="n"/>
      <c r="M8" s="223" t="n"/>
      <c r="N8" s="219" t="n"/>
      <c r="O8" s="213" t="n"/>
      <c r="Q8" s="39" t="n">
        <v>4</v>
      </c>
      <c r="R8" s="40" t="n"/>
      <c r="S8" s="41" t="n"/>
    </row>
    <row r="9" ht="12.95" customHeight="1" s="197" thickBot="1">
      <c r="A9" s="228" t="n">
        <v>4</v>
      </c>
      <c r="B9" s="221">
        <f>Schedule!C18</f>
        <v/>
      </c>
      <c r="C9" s="24" t="inlineStr">
        <is>
          <t>Match Points</t>
        </is>
      </c>
      <c r="D9" s="165" t="n">
        <v>7</v>
      </c>
      <c r="E9" s="166" t="n">
        <v>1</v>
      </c>
      <c r="F9" s="166" t="n">
        <v>0</v>
      </c>
      <c r="G9" s="166" t="n">
        <v>5</v>
      </c>
      <c r="H9" s="166" t="n"/>
      <c r="I9" s="166" t="n"/>
      <c r="J9" s="166" t="n"/>
      <c r="K9" s="166" t="n"/>
      <c r="L9" s="167" t="n"/>
      <c r="M9" s="226" t="n">
        <v>13</v>
      </c>
      <c r="N9" s="218" t="inlineStr">
        <is>
          <t>2-2-0</t>
        </is>
      </c>
      <c r="O9" s="212" t="n">
        <v>41.5</v>
      </c>
    </row>
    <row r="10" ht="13.5" customHeight="1" s="197" thickBot="1">
      <c r="B10" s="215" t="n"/>
      <c r="C10" s="168" t="inlineStr">
        <is>
          <t>NET Score</t>
        </is>
      </c>
      <c r="D10" s="169" t="n">
        <v>38</v>
      </c>
      <c r="E10" s="170" t="n">
        <v>47</v>
      </c>
      <c r="F10" s="170" t="n">
        <v>47</v>
      </c>
      <c r="G10" s="170" t="n">
        <v>34</v>
      </c>
      <c r="H10" s="170" t="n"/>
      <c r="I10" s="170" t="n"/>
      <c r="J10" s="170" t="n"/>
      <c r="K10" s="170" t="n"/>
      <c r="L10" s="171" t="n"/>
      <c r="M10" s="223" t="n"/>
      <c r="N10" s="219" t="n"/>
      <c r="O10" s="213" t="n"/>
      <c r="R10" s="224" t="inlineStr">
        <is>
          <t>Playoff Matchups</t>
        </is>
      </c>
      <c r="S10" s="225" t="n"/>
    </row>
    <row r="11" ht="12.95" customHeight="1" s="197">
      <c r="A11" s="228" t="n">
        <v>5</v>
      </c>
      <c r="B11" s="214">
        <f>Schedule!C19</f>
        <v/>
      </c>
      <c r="C11" s="157" t="inlineStr">
        <is>
          <t>Match Points</t>
        </is>
      </c>
      <c r="D11" s="158" t="n">
        <v>0</v>
      </c>
      <c r="E11" s="220" t="n">
        <v>6</v>
      </c>
      <c r="F11" s="220" t="n">
        <v>1</v>
      </c>
      <c r="G11" s="220" t="n">
        <v>4.5</v>
      </c>
      <c r="H11" s="220" t="n"/>
      <c r="I11" s="220" t="n"/>
      <c r="J11" s="220" t="n"/>
      <c r="K11" s="220" t="n"/>
      <c r="L11" s="160" t="n"/>
      <c r="M11" s="222" t="n">
        <v>11.5</v>
      </c>
      <c r="N11" s="220" t="inlineStr">
        <is>
          <t>2-2-0</t>
        </is>
      </c>
      <c r="O11" s="230" t="n">
        <v>43</v>
      </c>
      <c r="R11" s="36" t="inlineStr">
        <is>
          <t>Front 9</t>
        </is>
      </c>
      <c r="S11" s="38" t="inlineStr">
        <is>
          <t>Back 9</t>
        </is>
      </c>
    </row>
    <row r="12" ht="13.5" customHeight="1" s="197" thickBot="1">
      <c r="B12" s="215" t="n"/>
      <c r="C12" s="161" t="inlineStr">
        <is>
          <t>NET Score</t>
        </is>
      </c>
      <c r="D12" s="162" t="n">
        <v>46</v>
      </c>
      <c r="E12" s="163" t="n">
        <v>43</v>
      </c>
      <c r="F12" s="163" t="n">
        <v>43</v>
      </c>
      <c r="G12" s="163" t="n">
        <v>40</v>
      </c>
      <c r="H12" s="163" t="n"/>
      <c r="I12" s="163" t="n"/>
      <c r="J12" s="163" t="n"/>
      <c r="K12" s="163" t="n"/>
      <c r="L12" s="164" t="n"/>
      <c r="M12" s="223" t="n"/>
      <c r="N12" s="219" t="n"/>
      <c r="O12" s="213" t="n"/>
      <c r="R12" s="36" t="inlineStr">
        <is>
          <t>1 vs 4</t>
        </is>
      </c>
      <c r="S12" s="38" t="inlineStr">
        <is>
          <t>Winner of each</t>
        </is>
      </c>
    </row>
    <row r="13" ht="12.95" customHeight="1" s="197" thickBot="1">
      <c r="A13" s="228" t="n">
        <v>6</v>
      </c>
      <c r="B13" s="221">
        <f>Schedule!C20</f>
        <v/>
      </c>
      <c r="C13" s="24" t="inlineStr">
        <is>
          <t>Match Points</t>
        </is>
      </c>
      <c r="D13" s="165" t="n">
        <v>8</v>
      </c>
      <c r="E13" s="166" t="n">
        <v>2</v>
      </c>
      <c r="F13" s="166" t="n"/>
      <c r="G13" s="166" t="n"/>
      <c r="H13" s="166" t="n"/>
      <c r="I13" s="166" t="n"/>
      <c r="J13" s="166" t="n"/>
      <c r="K13" s="166" t="n"/>
      <c r="L13" s="167" t="n"/>
      <c r="M13" s="226" t="n">
        <v>10</v>
      </c>
      <c r="N13" s="218" t="inlineStr">
        <is>
          <t>1-1-0</t>
        </is>
      </c>
      <c r="O13" s="212" t="n">
        <v>36</v>
      </c>
      <c r="R13" s="39" t="inlineStr">
        <is>
          <t>2 vs 3</t>
        </is>
      </c>
      <c r="S13" s="41" t="inlineStr">
        <is>
          <t>Loser of each</t>
        </is>
      </c>
    </row>
    <row r="14" ht="13.5" customHeight="1" s="197" thickBot="1">
      <c r="B14" s="215" t="n"/>
      <c r="C14" s="168" t="inlineStr">
        <is>
          <t>NET Score</t>
        </is>
      </c>
      <c r="D14" s="169" t="n">
        <v>33</v>
      </c>
      <c r="E14" s="170" t="n">
        <v>39</v>
      </c>
      <c r="F14" s="170" t="n"/>
      <c r="G14" s="170" t="n"/>
      <c r="H14" s="170" t="n"/>
      <c r="I14" s="170" t="n"/>
      <c r="J14" s="170" t="n"/>
      <c r="K14" s="170" t="n"/>
      <c r="L14" s="171" t="n"/>
      <c r="M14" s="223" t="n"/>
      <c r="N14" s="219" t="n"/>
      <c r="O14" s="213" t="n"/>
    </row>
    <row r="15" ht="12.95" customHeight="1" s="197">
      <c r="A15" s="228" t="n">
        <v>7</v>
      </c>
      <c r="B15" s="214">
        <f>Schedule!C21</f>
        <v/>
      </c>
      <c r="C15" s="157" t="inlineStr">
        <is>
          <t>Match Points</t>
        </is>
      </c>
      <c r="D15" s="158" t="n">
        <v>1</v>
      </c>
      <c r="E15" s="220" t="n">
        <v>2</v>
      </c>
      <c r="F15" s="220" t="n">
        <v>7</v>
      </c>
      <c r="G15" s="220" t="n">
        <v>1</v>
      </c>
      <c r="H15" s="220" t="n">
        <v>1</v>
      </c>
      <c r="I15" s="220" t="n">
        <v>1</v>
      </c>
      <c r="J15" s="220" t="n"/>
      <c r="K15" s="220" t="n"/>
      <c r="L15" s="160" t="n"/>
      <c r="M15" s="222" t="n">
        <v>13</v>
      </c>
      <c r="N15" s="220" t="inlineStr">
        <is>
          <t>1-5-0</t>
        </is>
      </c>
      <c r="O15" s="230" t="n">
        <v>46.8</v>
      </c>
    </row>
    <row r="16" ht="13.5" customHeight="1" s="197" thickBot="1">
      <c r="B16" s="215" t="n"/>
      <c r="C16" s="161" t="inlineStr">
        <is>
          <t>NET Score</t>
        </is>
      </c>
      <c r="D16" s="162" t="n">
        <v>48</v>
      </c>
      <c r="E16" s="163" t="n">
        <v>49</v>
      </c>
      <c r="F16" s="163" t="n">
        <v>39</v>
      </c>
      <c r="G16" s="163" t="n">
        <v>49</v>
      </c>
      <c r="H16" s="163" t="n">
        <v>48</v>
      </c>
      <c r="I16" s="163" t="n">
        <v>48</v>
      </c>
      <c r="J16" s="163" t="n"/>
      <c r="K16" s="163" t="n"/>
      <c r="L16" s="164" t="n"/>
      <c r="M16" s="223" t="n"/>
      <c r="N16" s="219" t="n"/>
      <c r="O16" s="213" t="n"/>
    </row>
    <row r="17" ht="12.95" customHeight="1" s="197">
      <c r="A17" s="228" t="n">
        <v>8</v>
      </c>
      <c r="B17" s="221">
        <f>Schedule!C22</f>
        <v/>
      </c>
      <c r="C17" s="24" t="inlineStr">
        <is>
          <t>Match Points</t>
        </is>
      </c>
      <c r="D17" s="165" t="n">
        <v>7</v>
      </c>
      <c r="E17" s="166" t="n">
        <v>6</v>
      </c>
      <c r="F17" s="166" t="n">
        <v>8</v>
      </c>
      <c r="G17" s="166" t="n"/>
      <c r="H17" s="166" t="n">
        <v>8</v>
      </c>
      <c r="I17" s="166" t="n"/>
      <c r="J17" s="166" t="n"/>
      <c r="K17" s="166" t="n">
        <v>1</v>
      </c>
      <c r="L17" s="167" t="n">
        <v>7</v>
      </c>
      <c r="M17" s="226" t="n">
        <v>37</v>
      </c>
      <c r="N17" s="218" t="inlineStr">
        <is>
          <t>5-1-0</t>
        </is>
      </c>
      <c r="O17" s="212" t="n">
        <v>36.7</v>
      </c>
      <c r="Q17" s="227" t="inlineStr">
        <is>
          <t>Tiebreaker Rules</t>
        </is>
      </c>
    </row>
    <row r="18" ht="13.5" customHeight="1" s="197" thickBot="1">
      <c r="B18" s="215" t="n"/>
      <c r="C18" s="168" t="inlineStr">
        <is>
          <t>NET Score</t>
        </is>
      </c>
      <c r="D18" s="169" t="n">
        <v>37</v>
      </c>
      <c r="E18" s="170" t="n">
        <v>38</v>
      </c>
      <c r="F18" s="170" t="n">
        <v>37</v>
      </c>
      <c r="G18" s="170" t="n"/>
      <c r="H18" s="170" t="n">
        <v>35</v>
      </c>
      <c r="I18" s="170" t="n"/>
      <c r="J18" s="170" t="n"/>
      <c r="K18" s="170" t="n">
        <v>40</v>
      </c>
      <c r="L18" s="171" t="n">
        <v>33</v>
      </c>
      <c r="M18" s="223" t="n"/>
      <c r="N18" s="219" t="n"/>
      <c r="O18" s="213" t="n"/>
      <c r="Q18" s="154" t="inlineStr">
        <is>
          <t>1. Highest overall match wins. A match win means you scored 4.5 points or more against your opponent. 4 points will be considered a draw.</t>
        </is>
      </c>
      <c r="R18" s="21" t="n"/>
    </row>
    <row r="19" ht="12.95" customHeight="1" s="197">
      <c r="A19" s="228" t="n">
        <v>9</v>
      </c>
      <c r="B19" s="214">
        <f>Schedule!C23</f>
        <v/>
      </c>
      <c r="C19" s="157" t="inlineStr">
        <is>
          <t>Match Points</t>
        </is>
      </c>
      <c r="D19" s="158" t="n">
        <v>2</v>
      </c>
      <c r="E19" s="220" t="n">
        <v>8</v>
      </c>
      <c r="F19" s="220" t="n">
        <v>4.5</v>
      </c>
      <c r="G19" s="220" t="n">
        <v>8</v>
      </c>
      <c r="H19" s="220" t="n">
        <v>0</v>
      </c>
      <c r="I19" s="220" t="n"/>
      <c r="J19" s="220" t="n"/>
      <c r="K19" s="220" t="n"/>
      <c r="L19" s="160" t="n"/>
      <c r="M19" s="222" t="n">
        <v>22.5</v>
      </c>
      <c r="N19" s="220" t="inlineStr">
        <is>
          <t>3-2-0</t>
        </is>
      </c>
      <c r="O19" s="230" t="n">
        <v>39.8</v>
      </c>
      <c r="Q19" s="154" t="inlineStr">
        <is>
          <t>2. Lowest average NET score for all 8 matches.</t>
        </is>
      </c>
    </row>
    <row r="20" ht="13.5" customHeight="1" s="197" thickBot="1">
      <c r="B20" s="215" t="n"/>
      <c r="C20" s="161" t="inlineStr">
        <is>
          <t>NET Score</t>
        </is>
      </c>
      <c r="D20" s="162" t="n">
        <v>39</v>
      </c>
      <c r="E20" s="163" t="n">
        <v>36</v>
      </c>
      <c r="F20" s="163" t="n">
        <v>42</v>
      </c>
      <c r="G20" s="163" t="n">
        <v>38</v>
      </c>
      <c r="H20" s="163" t="n">
        <v>44</v>
      </c>
      <c r="I20" s="163" t="n"/>
      <c r="J20" s="163" t="n"/>
      <c r="K20" s="163" t="n"/>
      <c r="L20" s="164" t="n"/>
      <c r="M20" s="223" t="n"/>
      <c r="N20" s="219" t="n"/>
      <c r="O20" s="213" t="n"/>
      <c r="Q20" s="154" t="inlineStr">
        <is>
          <t>3. Lowest Round 8 NET score.</t>
        </is>
      </c>
      <c r="R20" s="21" t="n"/>
    </row>
    <row r="21" ht="12.95" customHeight="1" s="197">
      <c r="A21" s="228" t="n">
        <v>10</v>
      </c>
      <c r="B21" s="221">
        <f>Schedule!C24</f>
        <v/>
      </c>
      <c r="C21" s="24" t="inlineStr">
        <is>
          <t>Match Points</t>
        </is>
      </c>
      <c r="D21" s="165" t="n">
        <v>6</v>
      </c>
      <c r="E21" s="166" t="n">
        <v>8</v>
      </c>
      <c r="F21" s="166" t="n"/>
      <c r="G21" s="166" t="n">
        <v>8</v>
      </c>
      <c r="H21" s="166" t="n"/>
      <c r="I21" s="166" t="n">
        <v>7</v>
      </c>
      <c r="J21" s="166" t="n"/>
      <c r="K21" s="166" t="n">
        <v>6</v>
      </c>
      <c r="L21" s="167" t="n"/>
      <c r="M21" s="226" t="n">
        <v>35</v>
      </c>
      <c r="N21" s="218" t="inlineStr">
        <is>
          <t>5-0-0</t>
        </is>
      </c>
      <c r="O21" s="212" t="n">
        <v>38.6</v>
      </c>
      <c r="Q21" s="154" t="inlineStr">
        <is>
          <t>4. Coin Flip or however the two parties wish to settle it.</t>
        </is>
      </c>
      <c r="R21" s="21" t="n"/>
    </row>
    <row r="22" ht="13.5" customHeight="1" s="197" thickBot="1">
      <c r="B22" s="215" t="n"/>
      <c r="C22" s="168" t="inlineStr">
        <is>
          <t>NET Score</t>
        </is>
      </c>
      <c r="D22" s="169" t="n">
        <v>35</v>
      </c>
      <c r="E22" s="170" t="n">
        <v>42</v>
      </c>
      <c r="F22" s="170" t="n"/>
      <c r="G22" s="170" t="n">
        <v>41</v>
      </c>
      <c r="H22" s="170" t="n"/>
      <c r="I22" s="170" t="n">
        <v>36</v>
      </c>
      <c r="J22" s="170" t="n"/>
      <c r="K22" s="170" t="n">
        <v>39</v>
      </c>
      <c r="L22" s="171" t="n"/>
      <c r="M22" s="223" t="n"/>
      <c r="N22" s="219" t="n"/>
      <c r="O22" s="213" t="n"/>
    </row>
    <row r="23" ht="12.95" customHeight="1" s="197">
      <c r="A23" s="228" t="n">
        <v>11</v>
      </c>
      <c r="B23" s="214">
        <f>Schedule!C25</f>
        <v/>
      </c>
      <c r="C23" s="157" t="inlineStr">
        <is>
          <t>Match Points</t>
        </is>
      </c>
      <c r="D23" s="158" t="n"/>
      <c r="E23" s="220" t="n">
        <v>8</v>
      </c>
      <c r="F23" s="220" t="n">
        <v>7</v>
      </c>
      <c r="G23" s="220" t="n">
        <v>4</v>
      </c>
      <c r="H23" s="220" t="n"/>
      <c r="I23" s="220" t="n"/>
      <c r="J23" s="220" t="n"/>
      <c r="K23" s="220" t="n"/>
      <c r="L23" s="160" t="n"/>
      <c r="M23" s="222" t="n">
        <v>19</v>
      </c>
      <c r="N23" s="220" t="inlineStr">
        <is>
          <t>2-0-1</t>
        </is>
      </c>
      <c r="O23" s="230" t="n">
        <v>46</v>
      </c>
    </row>
    <row r="24" ht="13.5" customHeight="1" s="197" thickBot="1">
      <c r="B24" s="215" t="n"/>
      <c r="C24" s="161" t="inlineStr">
        <is>
          <t>NET Score</t>
        </is>
      </c>
      <c r="D24" s="162" t="n"/>
      <c r="E24" s="163" t="n">
        <v>43</v>
      </c>
      <c r="F24" s="163" t="n">
        <v>52</v>
      </c>
      <c r="G24" s="163" t="n">
        <v>43</v>
      </c>
      <c r="H24" s="163" t="n"/>
      <c r="I24" s="163" t="n"/>
      <c r="J24" s="163" t="n"/>
      <c r="K24" s="163" t="n"/>
      <c r="L24" s="164" t="n"/>
      <c r="M24" s="223" t="n"/>
      <c r="N24" s="219" t="n"/>
      <c r="O24" s="213" t="n"/>
    </row>
    <row r="25" ht="12.95" customHeight="1" s="197">
      <c r="A25" s="228" t="n">
        <v>12</v>
      </c>
      <c r="B25" s="221">
        <f>Schedule!C26</f>
        <v/>
      </c>
      <c r="C25" s="24" t="inlineStr">
        <is>
          <t>Match Points</t>
        </is>
      </c>
      <c r="D25" s="165" t="n">
        <v>4</v>
      </c>
      <c r="E25" s="166" t="n">
        <v>0</v>
      </c>
      <c r="F25" s="166" t="n">
        <v>1</v>
      </c>
      <c r="G25" s="166" t="n"/>
      <c r="H25" s="166" t="n">
        <v>6</v>
      </c>
      <c r="I25" s="166" t="n"/>
      <c r="J25" s="166" t="n"/>
      <c r="K25" s="166" t="n">
        <v>2</v>
      </c>
      <c r="L25" s="167" t="n"/>
      <c r="M25" s="226" t="n">
        <v>13</v>
      </c>
      <c r="N25" s="218" t="inlineStr">
        <is>
          <t>1-3-1</t>
        </is>
      </c>
      <c r="O25" s="212" t="n">
        <v>52.8</v>
      </c>
    </row>
    <row r="26" ht="13.5" customHeight="1" s="197" thickBot="1">
      <c r="B26" s="215" t="n"/>
      <c r="C26" s="168" t="inlineStr">
        <is>
          <t>NET Score</t>
        </is>
      </c>
      <c r="D26" s="169" t="n">
        <v>54</v>
      </c>
      <c r="E26" s="170" t="n">
        <v>54</v>
      </c>
      <c r="F26" s="170" t="n">
        <v>54</v>
      </c>
      <c r="G26" s="170" t="n"/>
      <c r="H26" s="170" t="n">
        <v>52</v>
      </c>
      <c r="I26" s="170" t="n"/>
      <c r="J26" s="170" t="n"/>
      <c r="K26" s="170" t="n">
        <v>50</v>
      </c>
      <c r="L26" s="171" t="n"/>
      <c r="M26" s="223" t="n"/>
      <c r="N26" s="219" t="n"/>
      <c r="O26" s="213" t="n"/>
    </row>
    <row r="27" ht="12.95" customHeight="1" s="197">
      <c r="A27" s="228" t="n">
        <v>13</v>
      </c>
      <c r="B27" s="214">
        <f>Schedule!C27</f>
        <v/>
      </c>
      <c r="C27" s="157" t="inlineStr">
        <is>
          <t>Match Points</t>
        </is>
      </c>
      <c r="D27" s="158" t="n">
        <v>4</v>
      </c>
      <c r="E27" s="220" t="n">
        <v>0</v>
      </c>
      <c r="F27" s="220" t="n">
        <v>1</v>
      </c>
      <c r="G27" s="220" t="n">
        <v>0</v>
      </c>
      <c r="H27" s="220" t="n">
        <v>7</v>
      </c>
      <c r="I27" s="220" t="n">
        <v>2</v>
      </c>
      <c r="J27" s="220" t="n"/>
      <c r="K27" s="220" t="n"/>
      <c r="L27" s="160" t="n"/>
      <c r="M27" s="222" t="n">
        <v>14</v>
      </c>
      <c r="N27" s="220" t="inlineStr">
        <is>
          <t>1-4-1</t>
        </is>
      </c>
      <c r="O27" s="230" t="n">
        <v>51.2</v>
      </c>
    </row>
    <row r="28" ht="13.5" customHeight="1" s="197" thickBot="1">
      <c r="B28" s="215" t="n"/>
      <c r="C28" s="161" t="inlineStr">
        <is>
          <t>NET Score</t>
        </is>
      </c>
      <c r="D28" s="162" t="n">
        <v>54</v>
      </c>
      <c r="E28" s="163" t="n">
        <v>51</v>
      </c>
      <c r="F28" s="163" t="n">
        <v>54</v>
      </c>
      <c r="G28" s="163" t="n">
        <v>50</v>
      </c>
      <c r="H28" s="163" t="n">
        <v>48</v>
      </c>
      <c r="I28" s="163" t="n">
        <v>50</v>
      </c>
      <c r="J28" s="163" t="n"/>
      <c r="K28" s="163" t="n"/>
      <c r="L28" s="164" t="n"/>
      <c r="M28" s="223" t="n"/>
      <c r="N28" s="219" t="n"/>
      <c r="O28" s="213" t="n"/>
    </row>
    <row r="29" ht="12.95" customHeight="1" s="197">
      <c r="A29" s="228" t="n">
        <v>14</v>
      </c>
      <c r="B29" s="221">
        <f>Schedule!C28</f>
        <v/>
      </c>
      <c r="C29" s="24" t="inlineStr">
        <is>
          <t>Match Points</t>
        </is>
      </c>
      <c r="D29" s="165" t="n">
        <v>7</v>
      </c>
      <c r="E29" s="166" t="n">
        <v>0</v>
      </c>
      <c r="F29" s="166" t="n">
        <v>3.5</v>
      </c>
      <c r="G29" s="166" t="n">
        <v>0</v>
      </c>
      <c r="H29" s="166" t="n">
        <v>1</v>
      </c>
      <c r="I29" s="166" t="n"/>
      <c r="J29" s="166" t="n"/>
      <c r="K29" s="166" t="n"/>
      <c r="L29" s="167" t="n"/>
      <c r="M29" s="226" t="n">
        <v>11.5</v>
      </c>
      <c r="N29" s="218" t="inlineStr">
        <is>
          <t>1-4-0</t>
        </is>
      </c>
      <c r="O29" s="212" t="n">
        <v>50.2</v>
      </c>
    </row>
    <row r="30" ht="13.5" customHeight="1" s="197" thickBot="1">
      <c r="B30" s="215" t="n"/>
      <c r="C30" s="168" t="inlineStr">
        <is>
          <t>NET Score</t>
        </is>
      </c>
      <c r="D30" s="169" t="n">
        <v>50</v>
      </c>
      <c r="E30" s="170" t="n">
        <v>52</v>
      </c>
      <c r="F30" s="170" t="n">
        <v>43</v>
      </c>
      <c r="G30" s="170" t="n">
        <v>54</v>
      </c>
      <c r="H30" s="170" t="n">
        <v>52</v>
      </c>
      <c r="I30" s="170" t="n"/>
      <c r="J30" s="170" t="n"/>
      <c r="K30" s="170" t="n"/>
      <c r="L30" s="171" t="n"/>
      <c r="M30" s="223" t="n"/>
      <c r="N30" s="219" t="n"/>
      <c r="O30" s="213" t="n"/>
    </row>
    <row r="31" ht="12.95" customHeight="1" s="197">
      <c r="A31" s="228" t="n">
        <v>15</v>
      </c>
      <c r="B31" s="214">
        <f>Schedule!C29</f>
        <v/>
      </c>
      <c r="C31" s="157" t="inlineStr">
        <is>
          <t>Match Points</t>
        </is>
      </c>
      <c r="D31" s="158" t="n">
        <v>1</v>
      </c>
      <c r="E31" s="220" t="n"/>
      <c r="F31" s="220" t="n">
        <v>0</v>
      </c>
      <c r="G31" s="220" t="n">
        <v>4</v>
      </c>
      <c r="H31" s="220" t="n">
        <v>2</v>
      </c>
      <c r="I31" s="220" t="n">
        <v>6</v>
      </c>
      <c r="J31" s="220" t="n"/>
      <c r="K31" s="220" t="n"/>
      <c r="L31" s="160" t="n"/>
      <c r="M31" s="222" t="n">
        <v>13</v>
      </c>
      <c r="N31" s="220" t="inlineStr">
        <is>
          <t>1-3-1</t>
        </is>
      </c>
      <c r="O31" s="230" t="n">
        <v>49.8</v>
      </c>
    </row>
    <row r="32" ht="13.5" customHeight="1" s="197" thickBot="1">
      <c r="B32" s="215" t="n"/>
      <c r="C32" s="161" t="inlineStr">
        <is>
          <t>NET Score</t>
        </is>
      </c>
      <c r="D32" s="162" t="n">
        <v>53</v>
      </c>
      <c r="E32" s="163" t="n"/>
      <c r="F32" s="163" t="n">
        <v>54</v>
      </c>
      <c r="G32" s="163" t="n">
        <v>43</v>
      </c>
      <c r="H32" s="163" t="n">
        <v>54</v>
      </c>
      <c r="I32" s="163" t="n">
        <v>45</v>
      </c>
      <c r="J32" s="163" t="n"/>
      <c r="K32" s="163" t="n"/>
      <c r="L32" s="164" t="n"/>
      <c r="M32" s="223" t="n"/>
      <c r="N32" s="219" t="n"/>
      <c r="O32" s="213" t="n"/>
    </row>
  </sheetData>
  <sheetProtection selectLockedCells="0" selectUnlockedCells="0" algorithmName="SHA-512" sheet="1" objects="0" insertRows="1" insertHyperlinks="1" autoFilter="1" scenarios="0" formatColumns="1" deleteColumns="1" insertColumns="1" pivotTables="1" deleteRows="1" formatCells="1" saltValue="kkQ/PatKpMHBAJY782mRBw==" formatRows="1" sort="1" spinCount="100000" password="94CD" hashValue="Y3y62YBPDCQhqKgsSl1/iH5xODfF8lm4IgTCoiweq2jLnTBBsjKN4ZDmcY+ulNgK91riyyuYS5VZZqKHpfKB8g=="/>
  <mergeCells count="64">
    <mergeCell ref="O5:O6"/>
    <mergeCell ref="B27:B28"/>
    <mergeCell ref="B3:B4"/>
    <mergeCell ref="N25:N26"/>
    <mergeCell ref="N3:N4"/>
    <mergeCell ref="B17:B18"/>
    <mergeCell ref="M11:M12"/>
    <mergeCell ref="R10:S10"/>
    <mergeCell ref="B11:B12"/>
    <mergeCell ref="N21:N22"/>
    <mergeCell ref="M7:M8"/>
    <mergeCell ref="B29:B30"/>
    <mergeCell ref="B23:B24"/>
    <mergeCell ref="N5:N6"/>
    <mergeCell ref="M15:M16"/>
    <mergeCell ref="M13:M14"/>
    <mergeCell ref="M31:M32"/>
    <mergeCell ref="B13:B14"/>
    <mergeCell ref="N17:N18"/>
    <mergeCell ref="M25:M26"/>
    <mergeCell ref="M3:M4"/>
    <mergeCell ref="O29:O30"/>
    <mergeCell ref="O25:O26"/>
    <mergeCell ref="M5:M6"/>
    <mergeCell ref="Q17:S17"/>
    <mergeCell ref="N29:N30"/>
    <mergeCell ref="O21:O22"/>
    <mergeCell ref="N1:O1"/>
    <mergeCell ref="N23:N24"/>
    <mergeCell ref="O31:O32"/>
    <mergeCell ref="B15:B16"/>
    <mergeCell ref="N19:N20"/>
    <mergeCell ref="M27:M28"/>
    <mergeCell ref="B19:B20"/>
    <mergeCell ref="B9:B10"/>
    <mergeCell ref="N13:N14"/>
    <mergeCell ref="M21:M22"/>
    <mergeCell ref="M17:M18"/>
    <mergeCell ref="N9:N10"/>
    <mergeCell ref="O17:O18"/>
    <mergeCell ref="N31:N32"/>
    <mergeCell ref="O11:O12"/>
    <mergeCell ref="O27:O28"/>
    <mergeCell ref="N15:N16"/>
    <mergeCell ref="O7:O8"/>
    <mergeCell ref="M23:M24"/>
    <mergeCell ref="B5:B6"/>
    <mergeCell ref="O23:O24"/>
    <mergeCell ref="Q3:S3"/>
    <mergeCell ref="N11:N12"/>
    <mergeCell ref="O19:O20"/>
    <mergeCell ref="N27:N28"/>
    <mergeCell ref="O13:O14"/>
    <mergeCell ref="M29:M30"/>
    <mergeCell ref="M9:M10"/>
    <mergeCell ref="O3:O4"/>
    <mergeCell ref="O9:O10"/>
    <mergeCell ref="M19:M20"/>
    <mergeCell ref="B7:B8"/>
    <mergeCell ref="B25:B26"/>
    <mergeCell ref="N7:N8"/>
    <mergeCell ref="B21:B22"/>
    <mergeCell ref="O15:O16"/>
    <mergeCell ref="B31:B32"/>
  </mergeCells>
  <pageMargins left="0.25" right="0.25" top="0.75" bottom="0.75" header="0.3" footer="0.3"/>
  <pageSetup orientation="landscape" paperSize="3" horizontalDpi="300" verticalDpi="30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B1:AE24"/>
  <sheetViews>
    <sheetView zoomScale="85" zoomScaleNormal="85" workbookViewId="0">
      <selection activeCell="D40" sqref="D40"/>
    </sheetView>
  </sheetViews>
  <sheetFormatPr baseColWidth="8" defaultColWidth="9.85546875" defaultRowHeight="13.5"/>
  <cols>
    <col width="2.5703125" customWidth="1" style="235" min="1" max="1"/>
    <col width="27.85546875" customWidth="1" style="235" min="2" max="2"/>
    <col width="9.85546875" customWidth="1" style="235" min="3" max="8"/>
    <col width="10.7109375" bestFit="1" customWidth="1" style="235" min="9" max="9"/>
    <col width="10.5703125" customWidth="1" style="235" min="10" max="11"/>
    <col width="10.85546875" customWidth="1" style="235" min="12" max="13"/>
    <col width="5.7109375" customWidth="1" style="235" min="14" max="14"/>
    <col width="11" bestFit="1" customWidth="1" style="235" min="15" max="15"/>
    <col width="4.5703125" customWidth="1" style="235" min="16" max="24"/>
    <col width="7.5703125" customWidth="1" style="235" min="25" max="25"/>
    <col width="9.85546875" customWidth="1" style="235" min="26" max="27"/>
    <col width="16.42578125" bestFit="1" customWidth="1" style="235" min="28" max="28"/>
    <col width="12.7109375" customWidth="1" style="235" min="29" max="30"/>
    <col width="9.85546875" customWidth="1" style="235" min="31" max="47"/>
    <col width="9.85546875" customWidth="1" style="235" min="48" max="16384"/>
  </cols>
  <sheetData>
    <row r="1" ht="14.25" customHeight="1" s="197" thickBot="1">
      <c r="B1" s="47" t="inlineStr">
        <is>
          <t>Fill in your name, tees, front/back 9, and gross scores in the grey boxes</t>
        </is>
      </c>
      <c r="J1" s="239" t="inlineStr">
        <is>
          <t>Points</t>
        </is>
      </c>
      <c r="K1" s="191" t="n"/>
      <c r="L1" s="191" t="n"/>
      <c r="M1" s="191" t="n"/>
    </row>
    <row r="2" ht="24.95" customHeight="1" s="197" thickBot="1">
      <c r="D2" s="49" t="inlineStr">
        <is>
          <t>First 3</t>
        </is>
      </c>
      <c r="E2" s="49" t="inlineStr">
        <is>
          <t>Middle 3</t>
        </is>
      </c>
      <c r="F2" s="49" t="inlineStr">
        <is>
          <t>Final 3</t>
        </is>
      </c>
      <c r="G2" s="49" t="inlineStr">
        <is>
          <t>Overall</t>
        </is>
      </c>
      <c r="H2" s="49" t="inlineStr">
        <is>
          <t>Net Score</t>
        </is>
      </c>
      <c r="I2" s="50" t="n"/>
      <c r="J2" s="237">
        <f>B8</f>
        <v/>
      </c>
      <c r="K2" s="179" t="n"/>
      <c r="L2" s="233">
        <f>B17</f>
        <v/>
      </c>
      <c r="M2" s="179" t="n"/>
      <c r="AA2" s="112" t="inlineStr">
        <is>
          <t>#</t>
        </is>
      </c>
      <c r="AB2" s="112" t="inlineStr">
        <is>
          <t>Full Name</t>
        </is>
      </c>
      <c r="AC2" s="110" t="inlineStr">
        <is>
          <t>First Name</t>
        </is>
      </c>
      <c r="AD2" s="110" t="inlineStr">
        <is>
          <t>Last Name</t>
        </is>
      </c>
      <c r="AE2" s="112" t="inlineStr">
        <is>
          <t>HC</t>
        </is>
      </c>
    </row>
    <row r="3" ht="14.25" customHeight="1" s="197" thickBot="1">
      <c r="B3" s="238">
        <f>B8</f>
        <v/>
      </c>
      <c r="C3" s="51" t="inlineStr">
        <is>
          <t>Holes Won</t>
        </is>
      </c>
      <c r="D3" s="52">
        <f>SUM(C15:E15)</f>
        <v/>
      </c>
      <c r="E3" s="52">
        <f>SUM(F15:H15)</f>
        <v/>
      </c>
      <c r="F3" s="52">
        <f>SUM(I15:K15)</f>
        <v/>
      </c>
      <c r="G3" s="52">
        <f>SUM(C15:K15)</f>
        <v/>
      </c>
      <c r="H3" s="52">
        <f>SUM(C14:K14)</f>
        <v/>
      </c>
      <c r="J3" s="236">
        <f>SUM(D4:H4)</f>
        <v/>
      </c>
      <c r="K3" s="183" t="n"/>
      <c r="L3" s="240">
        <f>SUM(D6:H6)</f>
        <v/>
      </c>
      <c r="M3" s="183" t="n"/>
      <c r="AA3" s="110" t="n">
        <v>13</v>
      </c>
      <c r="AB3" s="111" t="inlineStr">
        <is>
          <t>Brandon Sizemore</t>
        </is>
      </c>
      <c r="AC3" s="54">
        <f>LEFT(AB3,SEARCH(" ",AB3)-1)</f>
        <v/>
      </c>
      <c r="AD3" s="54">
        <f>RIGHT(AB3,LEN(AB3)-SEARCH(" ",AB3))</f>
        <v/>
      </c>
      <c r="AE3" s="55" t="n">
        <v>25</v>
      </c>
    </row>
    <row r="4" ht="14.25" customHeight="1" s="197" thickBot="1">
      <c r="B4" s="186" t="n"/>
      <c r="C4" s="57" t="inlineStr">
        <is>
          <t>PTS</t>
        </is>
      </c>
      <c r="D4" s="58">
        <f>IF(D3&gt;D5,2,IF(D3=D5,1,0))</f>
        <v/>
      </c>
      <c r="E4" s="58">
        <f>IF(E3&gt;E5,2,IF(E3=E5,1,0))</f>
        <v/>
      </c>
      <c r="F4" s="58">
        <f>IF(F3&gt;F5,2,IF(F3=F5,1,0))</f>
        <v/>
      </c>
      <c r="G4" s="58">
        <f>IF(G3&gt;G5,1,IF(G3=G5,0.5,0))</f>
        <v/>
      </c>
      <c r="H4" s="58">
        <f>IF(H3&lt;H5,1,IF(H3=H5,0.5,0))</f>
        <v/>
      </c>
      <c r="J4" s="184" t="n"/>
      <c r="K4" s="185" t="n"/>
      <c r="M4" s="185" t="n"/>
      <c r="AA4" s="110" t="n">
        <v>17</v>
      </c>
      <c r="AB4" s="111" t="inlineStr">
        <is>
          <t>Brian Babecki</t>
        </is>
      </c>
      <c r="AC4" s="54">
        <f>LEFT(AB4,SEARCH(" ",AB4)-1)</f>
        <v/>
      </c>
      <c r="AD4" s="54">
        <f>RIGHT(AB4,LEN(AB4)-SEARCH(" ",AB4))</f>
        <v/>
      </c>
      <c r="AE4" s="55" t="n">
        <v>30</v>
      </c>
    </row>
    <row r="5" ht="14.25" customHeight="1" s="197" thickBot="1">
      <c r="B5" s="238">
        <f>B17</f>
        <v/>
      </c>
      <c r="C5" s="59" t="inlineStr">
        <is>
          <t>Holes Won</t>
        </is>
      </c>
      <c r="D5" s="60">
        <f>SUM(C24:E24)</f>
        <v/>
      </c>
      <c r="E5" s="60">
        <f>SUM(F24:H24)</f>
        <v/>
      </c>
      <c r="F5" s="60">
        <f>SUM(I24:K24)</f>
        <v/>
      </c>
      <c r="G5" s="60">
        <f>SUM(C24:K24)</f>
        <v/>
      </c>
      <c r="H5" s="60">
        <f>SUM(C23:K23)</f>
        <v/>
      </c>
      <c r="J5" s="186" t="n"/>
      <c r="K5" s="187" t="n"/>
      <c r="L5" s="191" t="n"/>
      <c r="M5" s="187" t="n"/>
      <c r="AA5" s="110" t="n">
        <v>4</v>
      </c>
      <c r="AB5" s="111" t="inlineStr">
        <is>
          <t>Brian Bencal</t>
        </is>
      </c>
      <c r="AC5" s="54">
        <f>LEFT(AB5,SEARCH(" ",AB5)-1)</f>
        <v/>
      </c>
      <c r="AD5" s="54">
        <f>RIGHT(AB5,LEN(AB5)-SEARCH(" ",AB5))</f>
        <v/>
      </c>
      <c r="AE5" s="55" t="n">
        <v>14</v>
      </c>
    </row>
    <row r="6" ht="14.25" customHeight="1" s="197" thickBot="1">
      <c r="B6" s="186" t="n"/>
      <c r="C6" s="57" t="inlineStr">
        <is>
          <t>PTS</t>
        </is>
      </c>
      <c r="D6" s="58">
        <f>IF(D5&gt;D3,2,IF(D5=D3,1,0))</f>
        <v/>
      </c>
      <c r="E6" s="58">
        <f>IF(E5&gt;E3,2,IF(E5=E3,1,0))</f>
        <v/>
      </c>
      <c r="F6" s="58">
        <f>IF(F5&gt;F3,2,IF(F5=F3,1,0))</f>
        <v/>
      </c>
      <c r="G6" s="58">
        <f>IF(G5&gt;G3,1,IF(G5=G3,0.5,0))</f>
        <v/>
      </c>
      <c r="H6" s="58">
        <f>IF(H5&lt;H3,1,IF(H5=H3,0.5,0))</f>
        <v/>
      </c>
      <c r="J6" s="234" t="n"/>
      <c r="K6" s="234" t="n"/>
      <c r="L6" s="234" t="n"/>
      <c r="M6" s="234" t="n"/>
      <c r="AA6" s="110" t="n">
        <v>11</v>
      </c>
      <c r="AB6" s="111" t="inlineStr">
        <is>
          <t>Bruce Dubovecky</t>
        </is>
      </c>
      <c r="AC6" s="54">
        <f>LEFT(AB6,SEARCH(" ",AB6)-1)</f>
        <v/>
      </c>
      <c r="AD6" s="54">
        <f>RIGHT(AB6,LEN(AB6)-SEARCH(" ",AB6))</f>
        <v/>
      </c>
      <c r="AE6" s="55" t="n">
        <v>21</v>
      </c>
    </row>
    <row r="7">
      <c r="C7" s="234" t="n"/>
      <c r="D7" s="234" t="n"/>
      <c r="E7" s="234" t="n"/>
      <c r="F7" s="234" t="n"/>
      <c r="G7" s="234" t="n"/>
      <c r="H7" s="234" t="n"/>
      <c r="I7" s="234" t="n"/>
      <c r="J7" s="234" t="n"/>
      <c r="K7" s="234" t="n"/>
      <c r="L7" s="234" t="n"/>
      <c r="AA7" s="110" t="n">
        <v>5</v>
      </c>
      <c r="AB7" s="111" t="inlineStr">
        <is>
          <t>David Hughes</t>
        </is>
      </c>
      <c r="AC7" s="54">
        <f>LEFT(AB7,SEARCH(" ",AB7)-1)</f>
        <v/>
      </c>
      <c r="AD7" s="54">
        <f>RIGHT(AB7,LEN(AB7)-SEARCH(" ",AB7))</f>
        <v/>
      </c>
      <c r="AE7" s="55" t="n">
        <v>14</v>
      </c>
    </row>
    <row r="8" ht="19.5" customHeight="1" s="197" thickBot="1">
      <c r="B8" s="109" t="inlineStr">
        <is>
          <t>Ethan High</t>
        </is>
      </c>
      <c r="C8" s="62" t="inlineStr">
        <is>
          <t>Handicap:</t>
        </is>
      </c>
      <c r="D8" s="234">
        <f>IFERROR(VLOOKUP(B8,$AB$3:$AE$21,4,0),0)</f>
        <v/>
      </c>
      <c r="E8" s="234" t="n"/>
      <c r="F8" s="234" t="inlineStr">
        <is>
          <t>Tees:</t>
        </is>
      </c>
      <c r="G8" s="63" t="inlineStr">
        <is>
          <t>Black</t>
        </is>
      </c>
      <c r="H8" s="234" t="n"/>
      <c r="I8" s="234" t="inlineStr">
        <is>
          <t>Holes:</t>
        </is>
      </c>
      <c r="J8" s="63" t="inlineStr">
        <is>
          <t>Front 9</t>
        </is>
      </c>
      <c r="K8" s="234" t="n"/>
      <c r="L8" s="234" t="n"/>
      <c r="O8" s="235" t="inlineStr">
        <is>
          <t>HC's by Tees</t>
        </is>
      </c>
      <c r="P8" s="234" t="inlineStr">
        <is>
          <t>Front 9</t>
        </is>
      </c>
      <c r="AA8" s="110" t="n">
        <v>6</v>
      </c>
      <c r="AB8" s="111" t="inlineStr">
        <is>
          <t>Edward Plasket</t>
        </is>
      </c>
      <c r="AC8" s="54">
        <f>LEFT(AB8,SEARCH(" ",AB8)-1)</f>
        <v/>
      </c>
      <c r="AD8" s="54">
        <f>RIGHT(AB8,LEN(AB8)-SEARCH(" ",AB8))</f>
        <v/>
      </c>
      <c r="AE8" s="55" t="n">
        <v>14</v>
      </c>
    </row>
    <row r="9" ht="15" customHeight="1" s="197">
      <c r="B9" s="64" t="inlineStr">
        <is>
          <t>HOLE</t>
        </is>
      </c>
      <c r="C9" s="65" t="n">
        <v>1</v>
      </c>
      <c r="D9" s="66" t="n">
        <v>2</v>
      </c>
      <c r="E9" s="67" t="n">
        <v>3</v>
      </c>
      <c r="F9" s="65" t="n">
        <v>4</v>
      </c>
      <c r="G9" s="66" t="n">
        <v>5</v>
      </c>
      <c r="H9" s="67" t="n">
        <v>6</v>
      </c>
      <c r="I9" s="65" t="n">
        <v>7</v>
      </c>
      <c r="J9" s="66" t="n">
        <v>8</v>
      </c>
      <c r="K9" s="67" t="n">
        <v>9</v>
      </c>
      <c r="L9" s="234" t="n"/>
      <c r="O9" s="235" t="inlineStr">
        <is>
          <t>Black</t>
        </is>
      </c>
      <c r="P9" s="234" t="n">
        <v>1</v>
      </c>
      <c r="Q9" s="234" t="n">
        <v>9</v>
      </c>
      <c r="R9" s="234" t="n">
        <v>7</v>
      </c>
      <c r="S9" s="234" t="n">
        <v>13</v>
      </c>
      <c r="T9" s="234" t="n">
        <v>15</v>
      </c>
      <c r="U9" s="234" t="n">
        <v>5</v>
      </c>
      <c r="V9" s="234" t="n">
        <v>11</v>
      </c>
      <c r="W9" s="234" t="n">
        <v>3</v>
      </c>
      <c r="X9" s="234" t="n">
        <v>17</v>
      </c>
      <c r="AA9" s="110" t="n">
        <v>7</v>
      </c>
      <c r="AB9" s="111" t="inlineStr">
        <is>
          <t>Ethan High</t>
        </is>
      </c>
      <c r="AC9" s="54">
        <f>LEFT(AB9,SEARCH(" ",AB9)-1)</f>
        <v/>
      </c>
      <c r="AD9" s="54">
        <f>RIGHT(AB9,LEN(AB9)-SEARCH(" ",AB9))</f>
        <v/>
      </c>
      <c r="AE9" s="55" t="n">
        <v>15</v>
      </c>
    </row>
    <row r="10">
      <c r="B10" s="68" t="inlineStr">
        <is>
          <t>PAR</t>
        </is>
      </c>
      <c r="C10" s="69" t="n">
        <v>4</v>
      </c>
      <c r="D10" s="234" t="n">
        <v>5</v>
      </c>
      <c r="E10" s="70" t="n">
        <v>3</v>
      </c>
      <c r="F10" s="69" t="n">
        <v>4</v>
      </c>
      <c r="G10" s="234" t="n">
        <v>5</v>
      </c>
      <c r="H10" s="70" t="n">
        <v>3</v>
      </c>
      <c r="I10" s="69" t="n">
        <v>4</v>
      </c>
      <c r="J10" s="234" t="n">
        <v>4</v>
      </c>
      <c r="K10" s="70" t="n">
        <v>4</v>
      </c>
      <c r="L10" s="234">
        <f>SUM(C10:K10)</f>
        <v/>
      </c>
      <c r="O10" s="235" t="inlineStr">
        <is>
          <t>Blue</t>
        </is>
      </c>
      <c r="P10" s="234" t="n">
        <v>1</v>
      </c>
      <c r="Q10" s="234" t="n">
        <v>9</v>
      </c>
      <c r="R10" s="234" t="n">
        <v>7</v>
      </c>
      <c r="S10" s="234" t="n">
        <v>13</v>
      </c>
      <c r="T10" s="234" t="n">
        <v>15</v>
      </c>
      <c r="U10" s="234" t="n">
        <v>5</v>
      </c>
      <c r="V10" s="234" t="n">
        <v>11</v>
      </c>
      <c r="W10" s="234" t="n">
        <v>3</v>
      </c>
      <c r="X10" s="234" t="n">
        <v>17</v>
      </c>
      <c r="AA10" s="110" t="n">
        <v>15</v>
      </c>
      <c r="AB10" s="111" t="inlineStr">
        <is>
          <t>JD DeCaprio</t>
        </is>
      </c>
      <c r="AC10" s="54">
        <f>LEFT(AB10,SEARCH(" ",AB10)-1)</f>
        <v/>
      </c>
      <c r="AD10" s="54">
        <f>RIGHT(AB10,LEN(AB10)-SEARCH(" ",AB10))</f>
        <v/>
      </c>
      <c r="AE10" s="55" t="n">
        <v>26</v>
      </c>
    </row>
    <row r="11">
      <c r="B11" s="68" t="inlineStr">
        <is>
          <t>HC</t>
        </is>
      </c>
      <c r="C11" s="69">
        <f t="array" ref="C11">_xlfn.IFS($J8="Back 9",VLOOKUP($G8,$O$15:$X$18,COLUMN()-1,0),$J8="Front 9",VLOOKUP($G8,$O$9:$X$12,COLUMN()-1,0))</f>
        <v/>
      </c>
      <c r="D11" s="234">
        <f t="array" ref="D11">_xlfn.IFS($J8="Back 9",VLOOKUP($G8,$O$15:$X$18,COLUMN()-1,0),$J8="Front 9",VLOOKUP($G8,$O$9:$X$12,COLUMN()-1,0))</f>
        <v/>
      </c>
      <c r="E11" s="70">
        <f t="array" ref="E11">_xlfn.IFS($J8="Back 9",VLOOKUP($G8,$O$15:$X$18,COLUMN()-1,0),$J8="Front 9",VLOOKUP($G8,$O$9:$X$12,COLUMN()-1,0))</f>
        <v/>
      </c>
      <c r="F11" s="69">
        <f t="array" ref="F11">_xlfn.IFS($J8="Back 9",VLOOKUP($G8,$O$15:$X$18,COLUMN()-1,0),$J8="Front 9",VLOOKUP($G8,$O$9:$X$12,COLUMN()-1,0))</f>
        <v/>
      </c>
      <c r="G11" s="234">
        <f t="array" ref="G11">_xlfn.IFS($J8="Back 9",VLOOKUP($G8,$O$15:$X$18,COLUMN()-1,0),$J8="Front 9",VLOOKUP($G8,$O$9:$X$12,COLUMN()-1,0))</f>
        <v/>
      </c>
      <c r="H11" s="70">
        <f t="array" ref="H11">_xlfn.IFS($J8="Back 9",VLOOKUP($G8,$O$15:$X$18,COLUMN()-1,0),$J8="Front 9",VLOOKUP($G8,$O$9:$X$12,COLUMN()-1,0))</f>
        <v/>
      </c>
      <c r="I11" s="69">
        <f t="array" ref="I11">_xlfn.IFS($J8="Back 9",VLOOKUP($G8,$O$15:$X$18,COLUMN()-1,0),$J8="Front 9",VLOOKUP($G8,$O$9:$X$12,COLUMN()-1,0))</f>
        <v/>
      </c>
      <c r="J11" s="234">
        <f t="array" ref="J11">_xlfn.IFS($J8="Back 9",VLOOKUP($G8,$O$15:$X$18,COLUMN()-1,0),$J8="Front 9",VLOOKUP($G8,$O$9:$X$12,COLUMN()-1,0))</f>
        <v/>
      </c>
      <c r="K11" s="70">
        <f t="array" ref="K11">_xlfn.IFS($J8="Back 9",VLOOKUP($G8,$O$15:$X$18,COLUMN()-1,0),$J8="Front 9",VLOOKUP($G8,$O$9:$X$12,COLUMN()-1,0))</f>
        <v/>
      </c>
      <c r="L11" s="234" t="n"/>
      <c r="O11" s="235" t="inlineStr">
        <is>
          <t>Blue / White</t>
        </is>
      </c>
      <c r="P11" s="234" t="n">
        <v>3</v>
      </c>
      <c r="Q11" s="234" t="n">
        <v>7</v>
      </c>
      <c r="R11" s="234" t="n">
        <v>13</v>
      </c>
      <c r="S11" s="234" t="n">
        <v>17</v>
      </c>
      <c r="T11" s="234" t="n">
        <v>15</v>
      </c>
      <c r="U11" s="234" t="n">
        <v>1</v>
      </c>
      <c r="V11" s="234" t="n">
        <v>11</v>
      </c>
      <c r="W11" s="234" t="n">
        <v>5</v>
      </c>
      <c r="X11" s="234" t="n">
        <v>9</v>
      </c>
      <c r="AA11" s="110" t="n">
        <v>18</v>
      </c>
      <c r="AB11" s="111" t="inlineStr">
        <is>
          <t>Katherine Plasket</t>
        </is>
      </c>
      <c r="AC11" s="54">
        <f>LEFT(AB11,SEARCH(" ",AB11)-1)</f>
        <v/>
      </c>
      <c r="AD11" s="54">
        <f>RIGHT(AB11,LEN(AB11)-SEARCH(" ",AB11))</f>
        <v/>
      </c>
      <c r="AE11" s="55" t="n">
        <v>36</v>
      </c>
    </row>
    <row r="12" ht="15" customHeight="1" s="197">
      <c r="B12" s="71" t="inlineStr">
        <is>
          <t>GROSS</t>
        </is>
      </c>
      <c r="C12" s="113" t="n">
        <v>5</v>
      </c>
      <c r="D12" s="114" t="n">
        <v>6</v>
      </c>
      <c r="E12" s="115" t="n">
        <v>4</v>
      </c>
      <c r="F12" s="113" t="n">
        <v>5</v>
      </c>
      <c r="G12" s="114" t="n">
        <v>6</v>
      </c>
      <c r="H12" s="115" t="n">
        <v>4</v>
      </c>
      <c r="I12" s="113" t="n">
        <v>5</v>
      </c>
      <c r="J12" s="114" t="n">
        <v>5</v>
      </c>
      <c r="K12" s="115" t="n">
        <v>5</v>
      </c>
      <c r="L12" s="234">
        <f>SUM(C12:K12)</f>
        <v/>
      </c>
      <c r="M12" s="72">
        <f>SUM(C12:K12)-SUM(C$10:K$10)</f>
        <v/>
      </c>
      <c r="O12" s="235" t="inlineStr">
        <is>
          <t>White</t>
        </is>
      </c>
      <c r="P12" s="234" t="n">
        <v>1</v>
      </c>
      <c r="Q12" s="234" t="n">
        <v>7</v>
      </c>
      <c r="R12" s="234" t="n">
        <v>11</v>
      </c>
      <c r="S12" s="234" t="n">
        <v>13</v>
      </c>
      <c r="T12" s="234" t="n">
        <v>15</v>
      </c>
      <c r="U12" s="234" t="n">
        <v>9</v>
      </c>
      <c r="V12" s="234" t="n">
        <v>17</v>
      </c>
      <c r="W12" s="234" t="n">
        <v>3</v>
      </c>
      <c r="X12" s="234" t="n">
        <v>5</v>
      </c>
      <c r="AA12" s="110" t="n">
        <v>14</v>
      </c>
      <c r="AB12" s="111" t="inlineStr">
        <is>
          <t>Kevin Edwards</t>
        </is>
      </c>
      <c r="AC12" s="54">
        <f>LEFT(AB12,SEARCH(" ",AB12)-1)</f>
        <v/>
      </c>
      <c r="AD12" s="54">
        <f>RIGHT(AB12,LEN(AB12)-SEARCH(" ",AB12))</f>
        <v/>
      </c>
      <c r="AE12" s="55" t="n">
        <v>25</v>
      </c>
    </row>
    <row r="13">
      <c r="B13" s="68" t="inlineStr">
        <is>
          <t>Strokes</t>
        </is>
      </c>
      <c r="C13" s="69" t="n">
        <v>5</v>
      </c>
      <c r="D13" s="234" t="n">
        <v>6</v>
      </c>
      <c r="E13" s="70" t="n">
        <v>4</v>
      </c>
      <c r="F13" s="69" t="n">
        <v>5</v>
      </c>
      <c r="G13" s="234" t="n">
        <v>6</v>
      </c>
      <c r="H13" s="70" t="n">
        <v>4</v>
      </c>
      <c r="I13" s="69" t="n">
        <v>5</v>
      </c>
      <c r="J13" s="234" t="n">
        <v>5</v>
      </c>
      <c r="K13" s="70" t="n">
        <v>5</v>
      </c>
      <c r="L13" s="72" t="n"/>
      <c r="AA13" s="110" t="n">
        <v>8</v>
      </c>
      <c r="AB13" s="111" t="inlineStr">
        <is>
          <t>Marshall Thompson</t>
        </is>
      </c>
      <c r="AC13" s="54">
        <f>LEFT(AB13,SEARCH(" ",AB13)-1)</f>
        <v/>
      </c>
      <c r="AD13" s="54">
        <f>RIGHT(AB13,LEN(AB13)-SEARCH(" ",AB13))</f>
        <v/>
      </c>
      <c r="AE13" s="55" t="n">
        <v>15</v>
      </c>
    </row>
    <row r="14">
      <c r="B14" s="68" t="inlineStr">
        <is>
          <t>NET</t>
        </is>
      </c>
      <c r="C14" s="69">
        <f>C12-C13</f>
        <v/>
      </c>
      <c r="D14" s="234">
        <f>D12-INT($D$8/18)-IF(D11&lt;=MOD($D$8,18),1,0)</f>
        <v/>
      </c>
      <c r="E14" s="70">
        <f>E12-INT($D$8/18)-IF(E11&lt;=MOD($D$8,18),1,0)</f>
        <v/>
      </c>
      <c r="F14" s="69">
        <f>F12-INT($D$8/18)-IF(F11&lt;=MOD($D$8,18),1,0)</f>
        <v/>
      </c>
      <c r="G14" s="234">
        <f>G12-INT($D$8/18)-IF(G11&lt;=MOD($D$8,18),1,0)</f>
        <v/>
      </c>
      <c r="H14" s="70">
        <f>H12-INT($D$8/18)-IF(H11&lt;=MOD($D$8,18),1,0)</f>
        <v/>
      </c>
      <c r="I14" s="69">
        <f>I12-INT($D$8/18)-IF(I11&lt;=MOD($D$8,18),1,0)</f>
        <v/>
      </c>
      <c r="J14" s="234">
        <f>J12-INT($D$8/18)-IF(J11&lt;=MOD($D$8,18),1,0)</f>
        <v/>
      </c>
      <c r="K14" s="70">
        <f>K12-INT($D$8/18)-IF(K11&lt;=MOD($D$8,18),1,0)</f>
        <v/>
      </c>
      <c r="L14" s="234">
        <f>SUM(C14:K14)</f>
        <v/>
      </c>
      <c r="M14" s="72">
        <f>SUM(C14:K14)-SUM(C$10:K$10)</f>
        <v/>
      </c>
      <c r="O14" s="234" t="inlineStr">
        <is>
          <t>Back 9</t>
        </is>
      </c>
      <c r="AA14" s="110" t="n">
        <v>12</v>
      </c>
      <c r="AB14" s="111" t="inlineStr">
        <is>
          <t>Mike Rider</t>
        </is>
      </c>
      <c r="AC14" s="54">
        <f>LEFT(AB14,SEARCH(" ",AB14)-1)</f>
        <v/>
      </c>
      <c r="AD14" s="54">
        <f>RIGHT(AB14,LEN(AB14)-SEARCH(" ",AB14))</f>
        <v/>
      </c>
      <c r="AE14" s="55" t="n">
        <v>22</v>
      </c>
    </row>
    <row r="15" ht="14.25" customHeight="1" s="197" thickBot="1">
      <c r="B15" s="74" t="inlineStr">
        <is>
          <t>Wins Hole</t>
        </is>
      </c>
      <c r="C15" s="56">
        <f>IF(C14&lt;C23,1,0)</f>
        <v/>
      </c>
      <c r="D15" s="75">
        <f>IF(D14&lt;D23,1,0)</f>
        <v/>
      </c>
      <c r="E15" s="76">
        <f>IF(E14&lt;E23,1,0)</f>
        <v/>
      </c>
      <c r="F15" s="56">
        <f>IF(F14&lt;F23,1,0)</f>
        <v/>
      </c>
      <c r="G15" s="75">
        <f>IF(G14&lt;G23,1,0)</f>
        <v/>
      </c>
      <c r="H15" s="76">
        <f>IF(H14&lt;H23,1,0)</f>
        <v/>
      </c>
      <c r="I15" s="56">
        <f>IF(I14&lt;I23,1,0)</f>
        <v/>
      </c>
      <c r="J15" s="75">
        <f>IF(J14&lt;J23,1,0)</f>
        <v/>
      </c>
      <c r="K15" s="76">
        <f>IF(K14&lt;K23,1,0)</f>
        <v/>
      </c>
      <c r="L15" s="234" t="n"/>
      <c r="O15" s="235" t="inlineStr">
        <is>
          <t>Black</t>
        </is>
      </c>
      <c r="P15" s="234" t="n">
        <v>12</v>
      </c>
      <c r="Q15" s="234" t="n">
        <v>2</v>
      </c>
      <c r="R15" s="234" t="n">
        <v>8</v>
      </c>
      <c r="S15" s="234" t="n">
        <v>6</v>
      </c>
      <c r="T15" s="234" t="n">
        <v>18</v>
      </c>
      <c r="U15" s="234" t="n">
        <v>14</v>
      </c>
      <c r="V15" s="234" t="n">
        <v>16</v>
      </c>
      <c r="W15" s="234" t="n">
        <v>10</v>
      </c>
      <c r="X15" s="234" t="n">
        <v>4</v>
      </c>
      <c r="AA15" s="110" t="n">
        <v>19</v>
      </c>
      <c r="AB15" s="111" t="inlineStr">
        <is>
          <t>Oscar Velasquez</t>
        </is>
      </c>
      <c r="AC15" s="54">
        <f>LEFT(AB15,SEARCH(" ",AB15)-1)</f>
        <v/>
      </c>
      <c r="AD15" s="54">
        <f>RIGHT(AB15,LEN(AB15)-SEARCH(" ",AB15))</f>
        <v/>
      </c>
      <c r="AE15" s="55" t="n">
        <v>36</v>
      </c>
    </row>
    <row r="16">
      <c r="C16" s="234" t="n"/>
      <c r="D16" s="234" t="n"/>
      <c r="E16" s="234" t="n"/>
      <c r="F16" s="234" t="n"/>
      <c r="G16" s="234" t="n"/>
      <c r="H16" s="234" t="n"/>
      <c r="I16" s="234" t="n"/>
      <c r="J16" s="234" t="n"/>
      <c r="K16" s="234" t="n"/>
      <c r="L16" s="234" t="n"/>
      <c r="O16" s="235" t="inlineStr">
        <is>
          <t>Blue</t>
        </is>
      </c>
      <c r="P16" s="234" t="n">
        <v>12</v>
      </c>
      <c r="Q16" s="234" t="n">
        <v>2</v>
      </c>
      <c r="R16" s="234" t="n">
        <v>8</v>
      </c>
      <c r="S16" s="234" t="n">
        <v>6</v>
      </c>
      <c r="T16" s="234" t="n">
        <v>18</v>
      </c>
      <c r="U16" s="234" t="n">
        <v>14</v>
      </c>
      <c r="V16" s="234" t="n">
        <v>16</v>
      </c>
      <c r="W16" s="234" t="n">
        <v>10</v>
      </c>
      <c r="X16" s="234" t="n">
        <v>4</v>
      </c>
      <c r="AA16" s="110" t="n">
        <v>10</v>
      </c>
      <c r="AB16" s="111" t="inlineStr">
        <is>
          <t>Pete Litterini</t>
        </is>
      </c>
      <c r="AC16" s="54">
        <f>LEFT(AB16,SEARCH(" ",AB16)-1)</f>
        <v/>
      </c>
      <c r="AD16" s="54">
        <f>RIGHT(AB16,LEN(AB16)-SEARCH(" ",AB16))</f>
        <v/>
      </c>
      <c r="AE16" s="55" t="n">
        <v>20</v>
      </c>
    </row>
    <row r="17" ht="19.5" customHeight="1" s="197" thickBot="1">
      <c r="B17" s="109" t="inlineStr">
        <is>
          <t>Bruce Dubovecky</t>
        </is>
      </c>
      <c r="C17" s="62" t="inlineStr">
        <is>
          <t>Handicap:</t>
        </is>
      </c>
      <c r="D17" s="234">
        <f>IFERROR(VLOOKUP(B17,$AB$3:$AE$21,4,0),0)</f>
        <v/>
      </c>
      <c r="E17" s="234" t="n"/>
      <c r="F17" s="234" t="inlineStr">
        <is>
          <t>Tees:</t>
        </is>
      </c>
      <c r="G17" s="63" t="inlineStr">
        <is>
          <t>Black</t>
        </is>
      </c>
      <c r="H17" s="234" t="n"/>
      <c r="I17" s="234" t="inlineStr">
        <is>
          <t>Holes:</t>
        </is>
      </c>
      <c r="J17" s="63" t="inlineStr">
        <is>
          <t>Front 9</t>
        </is>
      </c>
      <c r="K17" s="234" t="n"/>
      <c r="L17" s="234" t="n"/>
      <c r="O17" s="235" t="inlineStr">
        <is>
          <t>Blue / White</t>
        </is>
      </c>
      <c r="P17" s="234" t="n">
        <v>12</v>
      </c>
      <c r="Q17" s="234" t="n">
        <v>4</v>
      </c>
      <c r="R17" s="234" t="n">
        <v>10</v>
      </c>
      <c r="S17" s="234" t="n">
        <v>2</v>
      </c>
      <c r="T17" s="234" t="n">
        <v>16</v>
      </c>
      <c r="U17" s="234" t="n">
        <v>14</v>
      </c>
      <c r="V17" s="234" t="n">
        <v>18</v>
      </c>
      <c r="W17" s="234" t="n">
        <v>6</v>
      </c>
      <c r="X17" s="234" t="n">
        <v>8</v>
      </c>
      <c r="AA17" s="110" t="n">
        <v>9</v>
      </c>
      <c r="AB17" s="111" t="inlineStr">
        <is>
          <t>Stephen Keeler</t>
        </is>
      </c>
      <c r="AC17" s="54">
        <f>LEFT(AB17,SEARCH(" ",AB17)-1)</f>
        <v/>
      </c>
      <c r="AD17" s="54">
        <f>RIGHT(AB17,LEN(AB17)-SEARCH(" ",AB17))</f>
        <v/>
      </c>
      <c r="AE17" s="55" t="n">
        <v>15</v>
      </c>
    </row>
    <row r="18" ht="15" customHeight="1" s="197">
      <c r="B18" s="64" t="inlineStr">
        <is>
          <t>HOLE</t>
        </is>
      </c>
      <c r="C18" s="65" t="n">
        <v>1</v>
      </c>
      <c r="D18" s="66" t="n">
        <v>2</v>
      </c>
      <c r="E18" s="67" t="n">
        <v>3</v>
      </c>
      <c r="F18" s="65" t="n">
        <v>4</v>
      </c>
      <c r="G18" s="66" t="n">
        <v>5</v>
      </c>
      <c r="H18" s="67" t="n">
        <v>6</v>
      </c>
      <c r="I18" s="65" t="n">
        <v>7</v>
      </c>
      <c r="J18" s="66" t="n">
        <v>8</v>
      </c>
      <c r="K18" s="67" t="n">
        <v>9</v>
      </c>
      <c r="L18" s="234" t="n"/>
      <c r="M18" s="72" t="n"/>
      <c r="O18" s="235" t="inlineStr">
        <is>
          <t>White</t>
        </is>
      </c>
      <c r="P18" s="234" t="n">
        <v>10</v>
      </c>
      <c r="Q18" s="234" t="n">
        <v>4</v>
      </c>
      <c r="R18" s="234" t="n">
        <v>8</v>
      </c>
      <c r="S18" s="234" t="n">
        <v>2</v>
      </c>
      <c r="T18" s="234" t="n">
        <v>16</v>
      </c>
      <c r="U18" s="234" t="n">
        <v>12</v>
      </c>
      <c r="V18" s="234" t="n">
        <v>18</v>
      </c>
      <c r="W18" s="234" t="n">
        <v>14</v>
      </c>
      <c r="X18" s="234" t="n">
        <v>6</v>
      </c>
      <c r="AA18" s="110" t="n">
        <v>1</v>
      </c>
      <c r="AB18" s="111" t="inlineStr">
        <is>
          <t>Timothy Hunter</t>
        </is>
      </c>
      <c r="AC18" s="54">
        <f>LEFT(AB18,SEARCH(" ",AB18)-1)</f>
        <v/>
      </c>
      <c r="AD18" s="54">
        <f>RIGHT(AB18,LEN(AB18)-SEARCH(" ",AB18))</f>
        <v/>
      </c>
      <c r="AE18" s="55" t="n">
        <v>9</v>
      </c>
    </row>
    <row r="19">
      <c r="B19" s="68" t="inlineStr">
        <is>
          <t>PAR</t>
        </is>
      </c>
      <c r="C19" s="69" t="n">
        <v>4</v>
      </c>
      <c r="D19" s="234" t="n">
        <v>5</v>
      </c>
      <c r="E19" s="70" t="n">
        <v>3</v>
      </c>
      <c r="F19" s="69" t="n">
        <v>4</v>
      </c>
      <c r="G19" s="234" t="n">
        <v>5</v>
      </c>
      <c r="H19" s="70" t="n">
        <v>3</v>
      </c>
      <c r="I19" s="69" t="n">
        <v>4</v>
      </c>
      <c r="J19" s="234" t="n">
        <v>4</v>
      </c>
      <c r="K19" s="70" t="n">
        <v>4</v>
      </c>
      <c r="L19" s="234">
        <f>SUM(C19:K19)</f>
        <v/>
      </c>
      <c r="AA19" s="110" t="n">
        <v>3</v>
      </c>
      <c r="AB19" s="111" t="inlineStr">
        <is>
          <t>Vince Frasco</t>
        </is>
      </c>
      <c r="AC19" s="54">
        <f>LEFT(AB19,SEARCH(" ",AB19)-1)</f>
        <v/>
      </c>
      <c r="AD19" s="54">
        <f>RIGHT(AB19,LEN(AB19)-SEARCH(" ",AB19))</f>
        <v/>
      </c>
      <c r="AE19" s="55" t="n">
        <v>13</v>
      </c>
    </row>
    <row r="20">
      <c r="B20" s="68" t="inlineStr">
        <is>
          <t>HC</t>
        </is>
      </c>
      <c r="C20" s="69">
        <f t="array" ref="C20">_xlfn.IFS($J17="Back 9",VLOOKUP($G17,$O$15:$X$18,COLUMN()-1,0),$J17="Front 9",VLOOKUP($G17,$O$9:$X$12,COLUMN()-1,0))</f>
        <v/>
      </c>
      <c r="D20" s="234">
        <f t="array" ref="D20">_xlfn.IFS($J17="Back 9",VLOOKUP($G17,$O$15:$X$18,COLUMN()-1,0),$J17="Front 9",VLOOKUP($G17,$O$9:$X$12,COLUMN()-1,0))</f>
        <v/>
      </c>
      <c r="E20" s="70">
        <f t="array" ref="E20">_xlfn.IFS($J17="Back 9",VLOOKUP($G17,$O$15:$X$18,COLUMN()-1,0),$J17="Front 9",VLOOKUP($G17,$O$9:$X$12,COLUMN()-1,0))</f>
        <v/>
      </c>
      <c r="F20" s="69">
        <f t="array" ref="F20">_xlfn.IFS($J17="Back 9",VLOOKUP($G17,$O$15:$X$18,COLUMN()-1,0),$J17="Front 9",VLOOKUP($G17,$O$9:$X$12,COLUMN()-1,0))</f>
        <v/>
      </c>
      <c r="G20" s="234">
        <f t="array" ref="G20">_xlfn.IFS($J17="Back 9",VLOOKUP($G17,$O$15:$X$18,COLUMN()-1,0),$J17="Front 9",VLOOKUP($G17,$O$9:$X$12,COLUMN()-1,0))</f>
        <v/>
      </c>
      <c r="H20" s="70">
        <f t="array" ref="H20">_xlfn.IFS($J17="Back 9",VLOOKUP($G17,$O$15:$X$18,COLUMN()-1,0),$J17="Front 9",VLOOKUP($G17,$O$9:$X$12,COLUMN()-1,0))</f>
        <v/>
      </c>
      <c r="I20" s="69">
        <f t="array" ref="I20">_xlfn.IFS($J17="Back 9",VLOOKUP($G17,$O$15:$X$18,COLUMN()-1,0),$J17="Front 9",VLOOKUP($G17,$O$9:$X$12,COLUMN()-1,0))</f>
        <v/>
      </c>
      <c r="J20" s="234">
        <f t="array" ref="J20">_xlfn.IFS($J17="Back 9",VLOOKUP($G17,$O$15:$X$18,COLUMN()-1,0),$J17="Front 9",VLOOKUP($G17,$O$9:$X$12,COLUMN()-1,0))</f>
        <v/>
      </c>
      <c r="K20" s="70">
        <f t="array" ref="K20">_xlfn.IFS($J17="Back 9",VLOOKUP($G17,$O$15:$X$18,COLUMN()-1,0),$J17="Front 9",VLOOKUP($G17,$O$9:$X$12,COLUMN()-1,0))</f>
        <v/>
      </c>
      <c r="L20" s="234" t="n"/>
      <c r="AA20" s="110" t="n">
        <v>16</v>
      </c>
      <c r="AB20" s="111" t="inlineStr">
        <is>
          <t>William Bembenek</t>
        </is>
      </c>
      <c r="AC20" s="54">
        <f>LEFT(AB20,SEARCH(" ",AB20)-1)</f>
        <v/>
      </c>
      <c r="AD20" s="54">
        <f>RIGHT(AB20,LEN(AB20)-SEARCH(" ",AB20))</f>
        <v/>
      </c>
      <c r="AE20" s="55" t="n">
        <v>27</v>
      </c>
    </row>
    <row r="21" ht="15" customHeight="1" s="197">
      <c r="B21" s="71" t="inlineStr">
        <is>
          <t>GROSS</t>
        </is>
      </c>
      <c r="C21" s="113" t="n">
        <v>5</v>
      </c>
      <c r="D21" s="114" t="n">
        <v>6</v>
      </c>
      <c r="E21" s="115" t="n">
        <v>4</v>
      </c>
      <c r="F21" s="113" t="n">
        <v>5</v>
      </c>
      <c r="G21" s="114" t="n">
        <v>6</v>
      </c>
      <c r="H21" s="115" t="n">
        <v>4</v>
      </c>
      <c r="I21" s="113" t="n">
        <v>5</v>
      </c>
      <c r="J21" s="114" t="n">
        <v>5</v>
      </c>
      <c r="K21" s="115" t="n">
        <v>5</v>
      </c>
      <c r="L21" s="234">
        <f>SUM(C21:K21)</f>
        <v/>
      </c>
      <c r="M21" s="72">
        <f>SUM(C21:K21)-SUM(C$10:K$10)</f>
        <v/>
      </c>
      <c r="AA21" s="110" t="n">
        <v>2</v>
      </c>
      <c r="AB21" s="111" t="inlineStr">
        <is>
          <t>William Plasket</t>
        </is>
      </c>
      <c r="AC21" s="54">
        <f>LEFT(AB21,SEARCH(" ",AB21)-1)</f>
        <v/>
      </c>
      <c r="AD21" s="54">
        <f>RIGHT(AB21,LEN(AB21)-SEARCH(" ",AB21))</f>
        <v/>
      </c>
      <c r="AE21" s="55" t="n">
        <v>11</v>
      </c>
    </row>
    <row r="22">
      <c r="B22" s="68" t="inlineStr">
        <is>
          <t>Strokes</t>
        </is>
      </c>
      <c r="C22" s="69" t="n">
        <v>5</v>
      </c>
      <c r="D22" s="234" t="n">
        <v>6</v>
      </c>
      <c r="E22" s="70" t="n">
        <v>4</v>
      </c>
      <c r="F22" s="69" t="n">
        <v>5</v>
      </c>
      <c r="G22" s="234" t="n">
        <v>6</v>
      </c>
      <c r="H22" s="70" t="n">
        <v>4</v>
      </c>
      <c r="I22" s="69" t="n">
        <v>5</v>
      </c>
      <c r="J22" s="234" t="n">
        <v>5</v>
      </c>
      <c r="K22" s="70" t="n">
        <v>5</v>
      </c>
      <c r="L22" s="72" t="n"/>
    </row>
    <row r="23">
      <c r="B23" s="68" t="inlineStr">
        <is>
          <t>NET</t>
        </is>
      </c>
      <c r="C23" s="69">
        <f>C21-C22</f>
        <v/>
      </c>
      <c r="D23" s="234">
        <f>D21-D22</f>
        <v/>
      </c>
      <c r="E23" s="70">
        <f>E21-E22</f>
        <v/>
      </c>
      <c r="F23" s="69">
        <f>F21-F22</f>
        <v/>
      </c>
      <c r="G23" s="234">
        <f>G21-G22</f>
        <v/>
      </c>
      <c r="H23" s="70">
        <f>H21-H22</f>
        <v/>
      </c>
      <c r="I23" s="69">
        <f>I21-I22</f>
        <v/>
      </c>
      <c r="J23" s="234">
        <f>J21-J22</f>
        <v/>
      </c>
      <c r="K23" s="70">
        <f>K21-K22</f>
        <v/>
      </c>
      <c r="L23" s="234">
        <f>SUM(C23:K23)</f>
        <v/>
      </c>
      <c r="M23" s="72">
        <f>SUM(C23:K23)-SUM(C$10:K$10)</f>
        <v/>
      </c>
    </row>
    <row r="24" ht="14.25" customHeight="1" s="197" thickBot="1">
      <c r="B24" s="74" t="inlineStr">
        <is>
          <t>Wins Hole</t>
        </is>
      </c>
      <c r="C24" s="56">
        <f>IF(C23&lt;C14,1,0)</f>
        <v/>
      </c>
      <c r="D24" s="75">
        <f>IF(D23&lt;D14,1,0)</f>
        <v/>
      </c>
      <c r="E24" s="76">
        <f>IF(E23&lt;E14,1,0)</f>
        <v/>
      </c>
      <c r="F24" s="56">
        <f>IF(F23&lt;F14,1,0)</f>
        <v/>
      </c>
      <c r="G24" s="75">
        <f>IF(G23&lt;G14,1,0)</f>
        <v/>
      </c>
      <c r="H24" s="76">
        <f>IF(H23&lt;H14,1,0)</f>
        <v/>
      </c>
      <c r="I24" s="56">
        <f>IF(I23&lt;I14,1,0)</f>
        <v/>
      </c>
      <c r="J24" s="75">
        <f>IF(J23&lt;J14,1,0)</f>
        <v/>
      </c>
      <c r="K24" s="76">
        <f>IF(K23&lt;K14,1,0)</f>
        <v/>
      </c>
      <c r="L24" s="234" t="n"/>
    </row>
  </sheetData>
  <autoFilter ref="AA2:AE21">
    <sortState ref="AA3:AE21">
      <sortCondition ref="AB2:AB21"/>
    </sortState>
  </autoFilter>
  <mergeCells count="9">
    <mergeCell ref="L2:M2"/>
    <mergeCell ref="O14:X14"/>
    <mergeCell ref="J3:K5"/>
    <mergeCell ref="P8:X8"/>
    <mergeCell ref="J2:K2"/>
    <mergeCell ref="B3:B4"/>
    <mergeCell ref="J1:M1"/>
    <mergeCell ref="L3:M5"/>
    <mergeCell ref="B5:B6"/>
  </mergeCells>
  <conditionalFormatting sqref="C15:K15 C24:K24">
    <cfRule type="cellIs" priority="1" operator="greaterThan" dxfId="0">
      <formula>0.5</formula>
    </cfRule>
  </conditionalFormatting>
  <dataValidations count="3">
    <dataValidation sqref="G8 G17" showDropDown="0" showInputMessage="1" showErrorMessage="1" allowBlank="1" type="list">
      <formula1>$O$9:$O$12</formula1>
    </dataValidation>
    <dataValidation sqref="B8 B17" showDropDown="0" showInputMessage="1" showErrorMessage="1" allowBlank="1" type="list">
      <formula1>$AB$3:$AB$21</formula1>
    </dataValidation>
    <dataValidation sqref="J8 J17" showDropDown="0" showInputMessage="1" showErrorMessage="1" allowBlank="0" type="list">
      <formula1>"Front 9,Back 9"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G24"/>
  <sheetViews>
    <sheetView zoomScaleNormal="100" workbookViewId="0">
      <selection activeCell="Q12" sqref="Q12"/>
    </sheetView>
  </sheetViews>
  <sheetFormatPr baseColWidth="8" defaultColWidth="9.85546875" defaultRowHeight="13.5"/>
  <cols>
    <col width="2.5703125" customWidth="1" style="181" min="1" max="1"/>
    <col width="20.7109375" customWidth="1" style="181" min="2" max="2"/>
    <col width="9.85546875" customWidth="1" style="181" min="3" max="8"/>
    <col width="10.7109375" bestFit="1" customWidth="1" style="181" min="9" max="9"/>
    <col width="10.5703125" customWidth="1" style="181" min="10" max="11"/>
    <col width="10.85546875" customWidth="1" style="181" min="12" max="13"/>
    <col width="5.7109375" customWidth="1" style="181" min="14" max="14"/>
    <col width="11" bestFit="1" customWidth="1" style="181" min="15" max="15"/>
    <col width="16.5703125" bestFit="1" customWidth="1" style="181" min="16" max="16"/>
    <col width="8.85546875" bestFit="1" customWidth="1" style="181" min="17" max="17"/>
    <col width="4.5703125" customWidth="1" style="181" min="18" max="19"/>
    <col width="11" bestFit="1" customWidth="1" style="181" min="20" max="20"/>
    <col width="4" customWidth="1" style="181" min="21" max="29"/>
    <col width="10.42578125" bestFit="1" customWidth="1" style="181" min="30" max="30"/>
    <col width="4" customWidth="1" style="181" min="31" max="39"/>
    <col width="11" bestFit="1" customWidth="1" style="181" min="40" max="40"/>
    <col width="4" customWidth="1" style="181" min="41" max="49"/>
    <col width="10.42578125" bestFit="1" customWidth="1" style="181" min="50" max="50"/>
    <col width="4" customWidth="1" style="181" min="51" max="59"/>
    <col width="9.85546875" customWidth="1" style="181" min="60" max="76"/>
    <col width="9.85546875" customWidth="1" style="181" min="77" max="16384"/>
  </cols>
  <sheetData>
    <row r="1" ht="14.25" customHeight="1" s="197" thickBot="1">
      <c r="B1" s="116" t="inlineStr">
        <is>
          <t>Fill in the course, your name, tees, front/back and gross scores in the grey boxes</t>
        </is>
      </c>
      <c r="J1" s="190" t="inlineStr">
        <is>
          <t>Points</t>
        </is>
      </c>
      <c r="K1" s="191" t="n"/>
      <c r="L1" s="191" t="n"/>
      <c r="M1" s="191" t="n"/>
    </row>
    <row r="2" ht="24.95" customHeight="1" s="197" thickBot="1">
      <c r="B2" s="172" t="inlineStr">
        <is>
          <t>Highland Creek</t>
        </is>
      </c>
      <c r="D2" s="118" t="inlineStr">
        <is>
          <t>First 3</t>
        </is>
      </c>
      <c r="E2" s="118" t="inlineStr">
        <is>
          <t>Middle 3</t>
        </is>
      </c>
      <c r="F2" s="118" t="inlineStr">
        <is>
          <t>Final 3</t>
        </is>
      </c>
      <c r="G2" s="118" t="inlineStr">
        <is>
          <t>Overall</t>
        </is>
      </c>
      <c r="H2" s="118" t="inlineStr">
        <is>
          <t>Net Score</t>
        </is>
      </c>
      <c r="I2" s="119" t="n"/>
      <c r="J2" s="188">
        <f>B8</f>
        <v/>
      </c>
      <c r="K2" s="179" t="n"/>
      <c r="L2" s="178">
        <f>B17</f>
        <v/>
      </c>
      <c r="M2" s="179" t="n"/>
    </row>
    <row r="3" ht="14.25" customHeight="1" s="197" thickBot="1">
      <c r="B3" s="189">
        <f>J2</f>
        <v/>
      </c>
      <c r="C3" s="120" t="inlineStr">
        <is>
          <t>Holes Won</t>
        </is>
      </c>
      <c r="D3" s="121">
        <f>SUM(C15:E15)</f>
        <v/>
      </c>
      <c r="E3" s="121">
        <f>SUM(F15:H15)</f>
        <v/>
      </c>
      <c r="F3" s="121">
        <f>SUM(I15:K15)</f>
        <v/>
      </c>
      <c r="G3" s="121">
        <f>SUM(C15:K15)</f>
        <v/>
      </c>
      <c r="H3" s="121">
        <f>SUM(C14:K14)</f>
        <v/>
      </c>
      <c r="J3" s="182">
        <f>SUM(D4:H4)</f>
        <v/>
      </c>
      <c r="K3" s="183" t="n"/>
      <c r="L3" s="192">
        <f>SUM(D6:H6)</f>
        <v/>
      </c>
      <c r="M3" s="183" t="n"/>
    </row>
    <row r="4" ht="14.25" customHeight="1" s="197" thickBot="1">
      <c r="B4" s="186" t="n"/>
      <c r="C4" s="125" t="inlineStr">
        <is>
          <t>PTS</t>
        </is>
      </c>
      <c r="D4" s="126">
        <f>IF(D3&gt;D5,2,IF(D3=D5,1,0))</f>
        <v/>
      </c>
      <c r="E4" s="126">
        <f>IF(E3&gt;E5,2,IF(E3=E5,1,0))</f>
        <v/>
      </c>
      <c r="F4" s="126">
        <f>IF(F3&gt;F5,2,IF(F3=F5,1,0))</f>
        <v/>
      </c>
      <c r="G4" s="126">
        <f>IF(G3&gt;G5,1,IF(G3=G5,0.5,0))</f>
        <v/>
      </c>
      <c r="H4" s="126">
        <f>IF(H3&lt;H5,1,IF(H3=H5,0.5,0))</f>
        <v/>
      </c>
      <c r="J4" s="184" t="n"/>
      <c r="K4" s="185" t="n"/>
      <c r="M4" s="185" t="n"/>
    </row>
    <row r="5" ht="14.25" customHeight="1" s="197" thickBot="1">
      <c r="B5" s="189">
        <f>L2</f>
        <v/>
      </c>
      <c r="C5" s="127" t="inlineStr">
        <is>
          <t>Holes Won</t>
        </is>
      </c>
      <c r="D5" s="128">
        <f>SUM(C24:E24)</f>
        <v/>
      </c>
      <c r="E5" s="128">
        <f>SUM(F24:H24)</f>
        <v/>
      </c>
      <c r="F5" s="128">
        <f>SUM(I24:K24)</f>
        <v/>
      </c>
      <c r="G5" s="128">
        <f>SUM(C24:K24)</f>
        <v/>
      </c>
      <c r="H5" s="128">
        <f>SUM(C23:K23)</f>
        <v/>
      </c>
      <c r="J5" s="186" t="n"/>
      <c r="K5" s="187" t="n"/>
      <c r="L5" s="191" t="n"/>
      <c r="M5" s="187" t="n"/>
    </row>
    <row r="6" ht="14.25" customHeight="1" s="197" thickBot="1">
      <c r="B6" s="186" t="n"/>
      <c r="C6" s="125" t="inlineStr">
        <is>
          <t>PTS</t>
        </is>
      </c>
      <c r="D6" s="126">
        <f>IF(D5&gt;D3,2,IF(D5=D3,1,0))</f>
        <v/>
      </c>
      <c r="E6" s="126">
        <f>IF(E5&gt;E3,2,IF(E5=E3,1,0))</f>
        <v/>
      </c>
      <c r="F6" s="126">
        <f>IF(F5&gt;F3,2,IF(F5=F3,1,0))</f>
        <v/>
      </c>
      <c r="G6" s="126">
        <f>IF(G5&gt;G3,1,IF(G5=G3,0.5,0))</f>
        <v/>
      </c>
      <c r="H6" s="126">
        <f>IF(H5&lt;H3,1,IF(H5=H3,0.5,0))</f>
        <v/>
      </c>
      <c r="J6" s="180" t="n"/>
      <c r="K6" s="180" t="n"/>
      <c r="L6" s="180" t="n"/>
      <c r="M6" s="180" t="n"/>
    </row>
    <row r="7"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T7" s="180" t="inlineStr">
        <is>
          <t>Skybrook</t>
        </is>
      </c>
      <c r="AN7" s="180" t="inlineStr">
        <is>
          <t>Highland Creek</t>
        </is>
      </c>
    </row>
    <row r="8" ht="16.5" customHeight="1" s="197" thickBot="1">
      <c r="B8" s="145" t="inlineStr">
        <is>
          <t>Preston Stoner</t>
        </is>
      </c>
      <c r="C8" s="130" t="inlineStr">
        <is>
          <t>Handicap:</t>
        </is>
      </c>
      <c r="D8" s="180">
        <f>_xlfn.XLOOKUP(B8,$P$9:$P$23,$Q$9:$Q$23)</f>
        <v/>
      </c>
      <c r="E8" s="180" t="n"/>
      <c r="F8" s="180" t="inlineStr">
        <is>
          <t>Tees:</t>
        </is>
      </c>
      <c r="G8" s="173" t="inlineStr">
        <is>
          <t>Blue</t>
        </is>
      </c>
      <c r="H8" s="180" t="n"/>
      <c r="I8" s="180" t="inlineStr">
        <is>
          <t>Holes:</t>
        </is>
      </c>
      <c r="J8" s="149" t="inlineStr">
        <is>
          <t>Front 9</t>
        </is>
      </c>
      <c r="K8" s="180" t="n"/>
      <c r="L8" s="180" t="n"/>
      <c r="O8" s="143" t="inlineStr">
        <is>
          <t>#</t>
        </is>
      </c>
      <c r="P8" s="143" t="inlineStr">
        <is>
          <t>Name</t>
        </is>
      </c>
      <c r="Q8" s="143" t="inlineStr">
        <is>
          <t>Handicap</t>
        </is>
      </c>
      <c r="T8" s="181" t="inlineStr">
        <is>
          <t>HC's by Tees</t>
        </is>
      </c>
      <c r="U8" s="180" t="inlineStr">
        <is>
          <t>Front 9</t>
        </is>
      </c>
      <c r="AD8" s="180" t="inlineStr">
        <is>
          <t>Back 9</t>
        </is>
      </c>
      <c r="AN8" s="181" t="inlineStr">
        <is>
          <t>HC's by Tees</t>
        </is>
      </c>
      <c r="AO8" s="180" t="inlineStr">
        <is>
          <t>Front 9</t>
        </is>
      </c>
      <c r="AX8" s="180" t="inlineStr">
        <is>
          <t>Back 9</t>
        </is>
      </c>
    </row>
    <row r="9" ht="15" customHeight="1" s="197">
      <c r="B9" s="131" t="inlineStr">
        <is>
          <t>HOLE</t>
        </is>
      </c>
      <c r="C9" s="132" t="n">
        <v>1</v>
      </c>
      <c r="D9" s="133" t="n">
        <v>2</v>
      </c>
      <c r="E9" s="134" t="n">
        <v>3</v>
      </c>
      <c r="F9" s="132" t="n">
        <v>4</v>
      </c>
      <c r="G9" s="133" t="n">
        <v>5</v>
      </c>
      <c r="H9" s="134" t="n">
        <v>6</v>
      </c>
      <c r="I9" s="132" t="n">
        <v>7</v>
      </c>
      <c r="J9" s="133" t="n">
        <v>8</v>
      </c>
      <c r="K9" s="134" t="n">
        <v>9</v>
      </c>
      <c r="L9" s="180" t="n"/>
      <c r="O9" s="122" t="n">
        <v>1</v>
      </c>
      <c r="P9" s="123" t="inlineStr">
        <is>
          <t>Brian Wojcio</t>
        </is>
      </c>
      <c r="Q9" s="153">
        <f>Schedule!D15</f>
        <v/>
      </c>
      <c r="T9" s="181" t="inlineStr">
        <is>
          <t>Blue</t>
        </is>
      </c>
      <c r="U9" s="180" t="n">
        <v>7</v>
      </c>
      <c r="V9" s="180" t="n">
        <v>15</v>
      </c>
      <c r="W9" s="180" t="n">
        <v>5</v>
      </c>
      <c r="X9" s="180" t="n">
        <v>13</v>
      </c>
      <c r="Y9" s="180" t="n">
        <v>3</v>
      </c>
      <c r="Z9" s="180" t="n">
        <v>11</v>
      </c>
      <c r="AA9" s="180" t="n">
        <v>17</v>
      </c>
      <c r="AB9" s="180" t="n">
        <v>9</v>
      </c>
      <c r="AC9" s="180" t="n">
        <v>1</v>
      </c>
      <c r="AD9" s="181" t="inlineStr">
        <is>
          <t>Blue</t>
        </is>
      </c>
      <c r="AE9" s="180" t="n">
        <v>4</v>
      </c>
      <c r="AF9" s="180" t="n">
        <v>12</v>
      </c>
      <c r="AG9" s="180" t="n">
        <v>14</v>
      </c>
      <c r="AH9" s="180" t="n">
        <v>6</v>
      </c>
      <c r="AI9" s="180" t="n">
        <v>16</v>
      </c>
      <c r="AJ9" s="180" t="n">
        <v>8</v>
      </c>
      <c r="AK9" s="180" t="n">
        <v>18</v>
      </c>
      <c r="AL9" s="180" t="n">
        <v>2</v>
      </c>
      <c r="AM9" s="180" t="n">
        <v>10</v>
      </c>
      <c r="AN9" s="181" t="inlineStr">
        <is>
          <t>Blue</t>
        </is>
      </c>
      <c r="AO9" s="180" t="n">
        <v>7</v>
      </c>
      <c r="AP9" s="180" t="n">
        <v>17</v>
      </c>
      <c r="AQ9" s="180" t="n">
        <v>15</v>
      </c>
      <c r="AR9" s="180" t="n">
        <v>1</v>
      </c>
      <c r="AS9" s="180" t="n">
        <v>11</v>
      </c>
      <c r="AT9" s="180" t="n">
        <v>9</v>
      </c>
      <c r="AU9" s="180" t="n">
        <v>13</v>
      </c>
      <c r="AV9" s="180" t="n">
        <v>5</v>
      </c>
      <c r="AW9" s="180" t="n">
        <v>3</v>
      </c>
      <c r="AX9" s="181" t="inlineStr">
        <is>
          <t>Blue</t>
        </is>
      </c>
      <c r="AY9" s="180" t="n">
        <v>14</v>
      </c>
      <c r="AZ9" s="180" t="n">
        <v>8</v>
      </c>
      <c r="BA9" s="180" t="n">
        <v>6</v>
      </c>
      <c r="BB9" s="180" t="n">
        <v>4</v>
      </c>
      <c r="BC9" s="180" t="n">
        <v>16</v>
      </c>
      <c r="BD9" s="180" t="n">
        <v>2</v>
      </c>
      <c r="BE9" s="180" t="n">
        <v>10</v>
      </c>
      <c r="BF9" s="180" t="n">
        <v>12</v>
      </c>
      <c r="BG9" s="180" t="n">
        <v>18</v>
      </c>
    </row>
    <row r="10">
      <c r="B10" s="135" t="inlineStr">
        <is>
          <t>PAR</t>
        </is>
      </c>
      <c r="C10" s="180">
        <f t="array" ref="C10">IF($B$2="Skybrook",
   _xlfn.IFS(
      $J8="Back 9",INDEX($AE$12:$AM$12,1,C9),
      $J8="Front 9",INDEX($U$12:$AC$12,1,C9)
   ),
   _xlfn.IFS(
      $J8="Back 9",INDEX($AY$12:$BG$12,1,C9),
      $J8="Front 9",INDEX($AO$12:$AW$12,1,C9)
   )
)</f>
        <v/>
      </c>
      <c r="D10" s="180">
        <f t="array" ref="D10">IF($B$2="Skybrook",
   _xlfn.IFS(
      $J8="Back 9",INDEX($AE$12:$AM$12,1,D9),
      $J8="Front 9",INDEX($U$12:$AC$12,1,D9)
   ),
   _xlfn.IFS(
      $J8="Back 9",INDEX($AY$12:$BG$12,1,D9),
      $J8="Front 9",INDEX($AO$12:$AW$12,1,D9)
   )
)</f>
        <v/>
      </c>
      <c r="E10" s="137">
        <f t="array" ref="E10">IF($B$2="Skybrook",
   _xlfn.IFS(
      $J8="Back 9",INDEX($AE$12:$AM$12,1,E9),
      $J8="Front 9",INDEX($U$12:$AC$12,1,E9)
   ),
   _xlfn.IFS(
      $J8="Back 9",INDEX($AY$12:$BG$12,1,E9),
      $J8="Front 9",INDEX($AO$12:$AW$12,1,E9)
   )
)</f>
        <v/>
      </c>
      <c r="F10" s="136">
        <f t="array" ref="F10">IF($B$2="Skybrook",
   _xlfn.IFS(
      $J8="Back 9",INDEX($AE$12:$AM$12,1,F9),
      $J8="Front 9",INDEX($U$12:$AC$12,1,F9)
   ),
   _xlfn.IFS(
      $J8="Back 9",INDEX($AY$12:$BG$12,1,F9),
      $J8="Front 9",INDEX($AO$12:$AW$12,1,F9)
   )
)</f>
        <v/>
      </c>
      <c r="G10" s="180">
        <f t="array" ref="G10">IF($B$2="Skybrook",
   _xlfn.IFS(
      $J8="Back 9",INDEX($AE$12:$AM$12,1,G9),
      $J8="Front 9",INDEX($U$12:$AC$12,1,G9)
   ),
   _xlfn.IFS(
      $J8="Back 9",INDEX($AY$12:$BG$12,1,G9),
      $J8="Front 9",INDEX($AO$12:$AW$12,1,G9)
   )
)</f>
        <v/>
      </c>
      <c r="H10" s="137">
        <f t="array" ref="H10">IF($B$2="Skybrook",
   _xlfn.IFS(
      $J8="Back 9",INDEX($AE$12:$AM$12,1,H9),
      $J8="Front 9",INDEX($U$12:$AC$12,1,H9)
   ),
   _xlfn.IFS(
      $J8="Back 9",INDEX($AY$12:$BG$12,1,H9),
      $J8="Front 9",INDEX($AO$12:$AW$12,1,H9)
   )
)</f>
        <v/>
      </c>
      <c r="I10" s="136">
        <f t="array" ref="I10">IF($B$2="Skybrook",
   _xlfn.IFS(
      $J8="Back 9",INDEX($AE$12:$AM$12,1,I9),
      $J8="Front 9",INDEX($U$12:$AC$12,1,I9)
   ),
   _xlfn.IFS(
      $J8="Back 9",INDEX($AY$12:$BG$12,1,I9),
      $J8="Front 9",INDEX($AO$12:$AW$12,1,I9)
   )
)</f>
        <v/>
      </c>
      <c r="J10" s="180">
        <f t="array" ref="J10">IF($B$2="Skybrook",
   _xlfn.IFS(
      $J8="Back 9",INDEX($AE$12:$AM$12,1,J9),
      $J8="Front 9",INDEX($U$12:$AC$12,1,J9)
   ),
   _xlfn.IFS(
      $J8="Back 9",INDEX($AY$12:$BG$12,1,J9),
      $J8="Front 9",INDEX($AO$12:$AW$12,1,J9)
   )
)</f>
        <v/>
      </c>
      <c r="K10" s="137">
        <f t="array" ref="K10">IF($B$2="Skybrook",
   _xlfn.IFS(
      $J8="Back 9",INDEX($AE$12:$AM$12,1,K9),
      $J8="Front 9",INDEX($U$12:$AC$12,1,K9)
   ),
   _xlfn.IFS(
      $J8="Back 9",INDEX($AY$12:$BG$12,1,K9),
      $J8="Front 9",INDEX($AO$12:$AW$12,1,K9)
   )
)</f>
        <v/>
      </c>
      <c r="L10" s="180">
        <f>SUM(C10:K10)</f>
        <v/>
      </c>
      <c r="O10" s="122" t="n">
        <v>2</v>
      </c>
      <c r="P10" s="123" t="inlineStr">
        <is>
          <t>Ethan High</t>
        </is>
      </c>
      <c r="Q10" s="153">
        <f>Schedule!D16</f>
        <v/>
      </c>
      <c r="T10" s="181" t="inlineStr">
        <is>
          <t>Green</t>
        </is>
      </c>
      <c r="U10" s="180" t="n">
        <v>7</v>
      </c>
      <c r="V10" s="180" t="n">
        <v>15</v>
      </c>
      <c r="W10" s="180" t="n">
        <v>5</v>
      </c>
      <c r="X10" s="180" t="n">
        <v>13</v>
      </c>
      <c r="Y10" s="180" t="n">
        <v>3</v>
      </c>
      <c r="Z10" s="180" t="n">
        <v>11</v>
      </c>
      <c r="AA10" s="180" t="n">
        <v>17</v>
      </c>
      <c r="AB10" s="180" t="n">
        <v>9</v>
      </c>
      <c r="AC10" s="180" t="n">
        <v>1</v>
      </c>
      <c r="AD10" s="181" t="inlineStr">
        <is>
          <t>Green</t>
        </is>
      </c>
      <c r="AE10" s="180" t="n">
        <v>4</v>
      </c>
      <c r="AF10" s="180" t="n">
        <v>12</v>
      </c>
      <c r="AG10" s="180" t="n">
        <v>14</v>
      </c>
      <c r="AH10" s="180" t="n">
        <v>6</v>
      </c>
      <c r="AI10" s="180" t="n">
        <v>16</v>
      </c>
      <c r="AJ10" s="180" t="n">
        <v>8</v>
      </c>
      <c r="AK10" s="180" t="n">
        <v>18</v>
      </c>
      <c r="AL10" s="180" t="n">
        <v>2</v>
      </c>
      <c r="AM10" s="180" t="n">
        <v>10</v>
      </c>
      <c r="AN10" s="181" t="inlineStr">
        <is>
          <t>White</t>
        </is>
      </c>
      <c r="AO10" s="180" t="n">
        <v>7</v>
      </c>
      <c r="AP10" s="180" t="n">
        <v>17</v>
      </c>
      <c r="AQ10" s="180" t="n">
        <v>15</v>
      </c>
      <c r="AR10" s="180" t="n">
        <v>1</v>
      </c>
      <c r="AS10" s="180" t="n">
        <v>11</v>
      </c>
      <c r="AT10" s="180" t="n">
        <v>9</v>
      </c>
      <c r="AU10" s="180" t="n">
        <v>13</v>
      </c>
      <c r="AV10" s="180" t="n">
        <v>5</v>
      </c>
      <c r="AW10" s="180" t="n">
        <v>3</v>
      </c>
      <c r="AX10" s="181" t="inlineStr">
        <is>
          <t>White</t>
        </is>
      </c>
      <c r="AY10" s="180" t="n">
        <v>14</v>
      </c>
      <c r="AZ10" s="180" t="n">
        <v>8</v>
      </c>
      <c r="BA10" s="180" t="n">
        <v>6</v>
      </c>
      <c r="BB10" s="180" t="n">
        <v>4</v>
      </c>
      <c r="BC10" s="180" t="n">
        <v>16</v>
      </c>
      <c r="BD10" s="180" t="n">
        <v>2</v>
      </c>
      <c r="BE10" s="180" t="n">
        <v>10</v>
      </c>
      <c r="BF10" s="180" t="n">
        <v>12</v>
      </c>
      <c r="BG10" s="180" t="n">
        <v>18</v>
      </c>
    </row>
    <row r="11">
      <c r="B11" s="135" t="inlineStr">
        <is>
          <t>HC</t>
        </is>
      </c>
      <c r="C11" s="180">
        <f t="array" ref="C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D11" s="180">
        <f t="array" ref="D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E11" s="137">
        <f t="array" ref="E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F11" s="136">
        <f t="array" ref="F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G11" s="180">
        <f t="array" ref="G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H11" s="137">
        <f t="array" ref="H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I11" s="136">
        <f t="array" ref="I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J11" s="180">
        <f t="array" ref="J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K11" s="137">
        <f t="array" ref="K11">IF($B$2="Skybrook",
   _xlfn.IFS(
      $J8="Back 9",VLOOKUP($G8,$AD$9:$AM$11,COLUMN()-1,0),
      $J8="Front 9",VLOOKUP($G8,$T$9:$AC$11,COLUMN()-1,0)
   ),
   _xlfn.IFS(
      $J8="Back 9",VLOOKUP($G8,$AX$9:$BG$11,COLUMN()-1,0),
      $J8="Front 9",VLOOKUP($G8,$AN$9:$AW$11,COLUMN()-1,0)
   )
)</f>
        <v/>
      </c>
      <c r="L11" s="180" t="n"/>
      <c r="O11" s="122">
        <f>O10+1</f>
        <v/>
      </c>
      <c r="P11" s="123" t="inlineStr">
        <is>
          <t>Rob Bass</t>
        </is>
      </c>
      <c r="Q11" s="153">
        <f>Schedule!D17</f>
        <v/>
      </c>
      <c r="T11" s="181" t="inlineStr">
        <is>
          <t>Red</t>
        </is>
      </c>
      <c r="U11" s="180" t="n">
        <v>17</v>
      </c>
      <c r="V11" s="180" t="n">
        <v>9</v>
      </c>
      <c r="W11" s="180" t="n">
        <v>5</v>
      </c>
      <c r="X11" s="180" t="n">
        <v>7</v>
      </c>
      <c r="Y11" s="180" t="n">
        <v>3</v>
      </c>
      <c r="Z11" s="180" t="n">
        <v>15</v>
      </c>
      <c r="AA11" s="180" t="n">
        <v>11</v>
      </c>
      <c r="AB11" s="180" t="n">
        <v>13</v>
      </c>
      <c r="AC11" s="180" t="n">
        <v>1</v>
      </c>
      <c r="AD11" s="181" t="inlineStr">
        <is>
          <t>Red</t>
        </is>
      </c>
      <c r="AE11" s="180" t="n">
        <v>4</v>
      </c>
      <c r="AF11" s="180" t="n">
        <v>10</v>
      </c>
      <c r="AG11" s="180" t="n">
        <v>14</v>
      </c>
      <c r="AH11" s="180" t="n">
        <v>6</v>
      </c>
      <c r="AI11" s="180" t="n">
        <v>16</v>
      </c>
      <c r="AJ11" s="180" t="n">
        <v>12</v>
      </c>
      <c r="AK11" s="180" t="n">
        <v>18</v>
      </c>
      <c r="AL11" s="180" t="n">
        <v>2</v>
      </c>
      <c r="AM11" s="180" t="n">
        <v>8</v>
      </c>
      <c r="AN11" s="181" t="inlineStr">
        <is>
          <t>Red</t>
        </is>
      </c>
      <c r="AO11" s="180" t="n">
        <v>7</v>
      </c>
      <c r="AP11" s="180" t="n">
        <v>17</v>
      </c>
      <c r="AQ11" s="180" t="n">
        <v>15</v>
      </c>
      <c r="AR11" s="180" t="n">
        <v>1</v>
      </c>
      <c r="AS11" s="180" t="n">
        <v>11</v>
      </c>
      <c r="AT11" s="180" t="n">
        <v>9</v>
      </c>
      <c r="AU11" s="180" t="n">
        <v>13</v>
      </c>
      <c r="AV11" s="180" t="n">
        <v>5</v>
      </c>
      <c r="AW11" s="180" t="n">
        <v>3</v>
      </c>
      <c r="AX11" s="181" t="inlineStr">
        <is>
          <t>Red</t>
        </is>
      </c>
      <c r="AY11" s="180" t="n">
        <v>14</v>
      </c>
      <c r="AZ11" s="180" t="n">
        <v>8</v>
      </c>
      <c r="BA11" s="180" t="n">
        <v>6</v>
      </c>
      <c r="BB11" s="180" t="n">
        <v>4</v>
      </c>
      <c r="BC11" s="180" t="n">
        <v>16</v>
      </c>
      <c r="BD11" s="180" t="n">
        <v>2</v>
      </c>
      <c r="BE11" s="180" t="n">
        <v>10</v>
      </c>
      <c r="BF11" s="180" t="n">
        <v>12</v>
      </c>
      <c r="BG11" s="180" t="n">
        <v>18</v>
      </c>
    </row>
    <row r="12" ht="15" customHeight="1" s="197">
      <c r="B12" s="138" t="inlineStr">
        <is>
          <t>GROSS</t>
        </is>
      </c>
      <c r="C12" s="146" t="n">
        <v>7</v>
      </c>
      <c r="D12" s="147" t="n">
        <v>6</v>
      </c>
      <c r="E12" s="148" t="n">
        <v>5</v>
      </c>
      <c r="F12" s="146" t="n">
        <v>7</v>
      </c>
      <c r="G12" s="147" t="n">
        <v>6</v>
      </c>
      <c r="H12" s="148" t="n">
        <v>3</v>
      </c>
      <c r="I12" s="146" t="n">
        <v>7</v>
      </c>
      <c r="J12" s="147" t="n">
        <v>5</v>
      </c>
      <c r="K12" s="148" t="n">
        <v>6</v>
      </c>
      <c r="L12" s="180">
        <f>SUM(C12:K12)</f>
        <v/>
      </c>
      <c r="M12" s="139">
        <f>SUM(C12:K12)-SUM(C$10:K$10)</f>
        <v/>
      </c>
      <c r="O12" s="122" t="n">
        <v>4</v>
      </c>
      <c r="P12" s="123" t="inlineStr">
        <is>
          <t>Carson Bass</t>
        </is>
      </c>
      <c r="Q12" s="153">
        <f>Schedule!D18</f>
        <v/>
      </c>
      <c r="T12" s="181" t="inlineStr">
        <is>
          <t>Par</t>
        </is>
      </c>
      <c r="U12" s="144" t="n">
        <v>4</v>
      </c>
      <c r="V12" s="144" t="n">
        <v>3</v>
      </c>
      <c r="W12" s="144" t="n">
        <v>4</v>
      </c>
      <c r="X12" s="144" t="n">
        <v>5</v>
      </c>
      <c r="Y12" s="144" t="n">
        <v>4</v>
      </c>
      <c r="Z12" s="144" t="n">
        <v>4</v>
      </c>
      <c r="AA12" s="144" t="n">
        <v>3</v>
      </c>
      <c r="AB12" s="144" t="n">
        <v>5</v>
      </c>
      <c r="AC12" s="144" t="n">
        <v>4</v>
      </c>
      <c r="AD12" s="181" t="inlineStr">
        <is>
          <t>Par</t>
        </is>
      </c>
      <c r="AE12" s="144" t="n">
        <v>4</v>
      </c>
      <c r="AF12" s="144" t="n">
        <v>5</v>
      </c>
      <c r="AG12" s="144" t="n">
        <v>4</v>
      </c>
      <c r="AH12" s="144" t="n">
        <v>4</v>
      </c>
      <c r="AI12" s="144" t="n">
        <v>3</v>
      </c>
      <c r="AJ12" s="144" t="n">
        <v>4</v>
      </c>
      <c r="AK12" s="144" t="n">
        <v>3</v>
      </c>
      <c r="AL12" s="144" t="n">
        <v>4</v>
      </c>
      <c r="AM12" s="144" t="n">
        <v>5</v>
      </c>
      <c r="AN12" s="181" t="inlineStr">
        <is>
          <t>Par</t>
        </is>
      </c>
      <c r="AO12" s="144" t="n">
        <v>4</v>
      </c>
      <c r="AP12" s="144" t="n">
        <v>5</v>
      </c>
      <c r="AQ12" s="144" t="n">
        <v>3</v>
      </c>
      <c r="AR12" s="144" t="n">
        <v>4</v>
      </c>
      <c r="AS12" s="144" t="n">
        <v>4</v>
      </c>
      <c r="AT12" s="144" t="n">
        <v>3</v>
      </c>
      <c r="AU12" s="144" t="n">
        <v>5</v>
      </c>
      <c r="AV12" s="144" t="n">
        <v>4</v>
      </c>
      <c r="AW12" s="144" t="n">
        <v>4</v>
      </c>
      <c r="AX12" s="181" t="inlineStr">
        <is>
          <t>Par</t>
        </is>
      </c>
      <c r="AY12" s="144" t="n">
        <v>4</v>
      </c>
      <c r="AZ12" s="144" t="n">
        <v>3</v>
      </c>
      <c r="BA12" s="144" t="n">
        <v>5</v>
      </c>
      <c r="BB12" s="144" t="n">
        <v>4</v>
      </c>
      <c r="BC12" s="144" t="n">
        <v>4</v>
      </c>
      <c r="BD12" s="144" t="n">
        <v>4</v>
      </c>
      <c r="BE12" s="144" t="n">
        <v>4</v>
      </c>
      <c r="BF12" s="144" t="n">
        <v>3</v>
      </c>
      <c r="BG12" s="144" t="n">
        <v>5</v>
      </c>
    </row>
    <row r="13">
      <c r="B13" s="135" t="inlineStr">
        <is>
          <t>Strokes</t>
        </is>
      </c>
      <c r="C13" s="136">
        <f>INT($D$8/18)+IF(C11&lt;=MOD($D$8,18),1,0)</f>
        <v/>
      </c>
      <c r="D13" s="180">
        <f>INT($D$8/18)+IF(D11&lt;=MOD($D$8,18),1,0)</f>
        <v/>
      </c>
      <c r="E13" s="137">
        <f>INT($D$8/18)+IF(E11&lt;=MOD($D$8,18),1,0)</f>
        <v/>
      </c>
      <c r="F13" s="136">
        <f>INT($D$8/18)+IF(F11&lt;=MOD($D$8,18),1,0)</f>
        <v/>
      </c>
      <c r="G13" s="180">
        <f>INT($D$8/18)+IF(G11&lt;=MOD($D$8,18),1,0)</f>
        <v/>
      </c>
      <c r="H13" s="137">
        <f>INT($D$8/18)+IF(H11&lt;=MOD($D$8,18),1,0)</f>
        <v/>
      </c>
      <c r="I13" s="136">
        <f>INT($D$8/18)+IF(I11&lt;=MOD($D$8,18),1,0)</f>
        <v/>
      </c>
      <c r="J13" s="180">
        <f>INT($D$8/18)+IF(J11&lt;=MOD($D$8,18),1,0)</f>
        <v/>
      </c>
      <c r="K13" s="137">
        <f>INT($D$8/18)+IF(K11&lt;=MOD($D$8,18),1,0)</f>
        <v/>
      </c>
      <c r="L13" s="139" t="n"/>
      <c r="O13" s="122" t="n">
        <v>5</v>
      </c>
      <c r="P13" s="123" t="inlineStr">
        <is>
          <t>Michael McHugh</t>
        </is>
      </c>
      <c r="Q13" s="153">
        <f>Schedule!D19</f>
        <v/>
      </c>
    </row>
    <row r="14">
      <c r="B14" s="135" t="inlineStr">
        <is>
          <t>NET</t>
        </is>
      </c>
      <c r="C14" s="136">
        <f>C12-C13</f>
        <v/>
      </c>
      <c r="D14" s="180">
        <f>D12-INT($D$8/18)-IF(D11&lt;=MOD($D$8,18),1,0)</f>
        <v/>
      </c>
      <c r="E14" s="137">
        <f>E12-INT($D$8/18)-IF(E11&lt;=MOD($D$8,18),1,0)</f>
        <v/>
      </c>
      <c r="F14" s="136">
        <f>F12-INT($D$8/18)-IF(F11&lt;=MOD($D$8,18),1,0)</f>
        <v/>
      </c>
      <c r="G14" s="180">
        <f>G12-INT($D$8/18)-IF(G11&lt;=MOD($D$8,18),1,0)</f>
        <v/>
      </c>
      <c r="H14" s="137">
        <f>H12-INT($D$8/18)-IF(H11&lt;=MOD($D$8,18),1,0)</f>
        <v/>
      </c>
      <c r="I14" s="136">
        <f>I12-INT($D$8/18)-IF(I11&lt;=MOD($D$8,18),1,0)</f>
        <v/>
      </c>
      <c r="J14" s="180">
        <f>J12-INT($D$8/18)-IF(J11&lt;=MOD($D$8,18),1,0)</f>
        <v/>
      </c>
      <c r="K14" s="137">
        <f>K12-INT($D$8/18)-IF(K11&lt;=MOD($D$8,18),1,0)</f>
        <v/>
      </c>
      <c r="L14" s="155">
        <f>SUM(C14:K14)</f>
        <v/>
      </c>
      <c r="M14" s="139">
        <f>SUM(C14:K14)-SUM(C$10:K$10)</f>
        <v/>
      </c>
      <c r="O14" s="122" t="n">
        <v>6</v>
      </c>
      <c r="P14" s="123" t="inlineStr">
        <is>
          <t>Bruce Atkins</t>
        </is>
      </c>
      <c r="Q14" s="153">
        <f>Schedule!D20</f>
        <v/>
      </c>
    </row>
    <row r="15" ht="14.25" customHeight="1" s="197" thickBot="1">
      <c r="B15" s="140" t="inlineStr">
        <is>
          <t>Wins Hole</t>
        </is>
      </c>
      <c r="C15" s="124">
        <f>IF(C14&lt;C23,1,0)</f>
        <v/>
      </c>
      <c r="D15" s="141">
        <f>IF(D14&lt;D23,1,0)</f>
        <v/>
      </c>
      <c r="E15" s="142">
        <f>IF(E14&lt;E23,1,0)</f>
        <v/>
      </c>
      <c r="F15" s="124">
        <f>IF(F14&lt;F23,1,0)</f>
        <v/>
      </c>
      <c r="G15" s="141">
        <f>IF(G14&lt;G23,1,0)</f>
        <v/>
      </c>
      <c r="H15" s="142">
        <f>IF(H14&lt;H23,1,0)</f>
        <v/>
      </c>
      <c r="I15" s="124">
        <f>IF(I14&lt;I23,1,0)</f>
        <v/>
      </c>
      <c r="J15" s="141">
        <f>IF(J14&lt;J23,1,0)</f>
        <v/>
      </c>
      <c r="K15" s="142">
        <f>IF(K14&lt;K23,1,0)</f>
        <v/>
      </c>
      <c r="L15" s="180" t="n"/>
      <c r="O15" s="122">
        <f>O14+1</f>
        <v/>
      </c>
      <c r="P15" s="123" t="inlineStr">
        <is>
          <t>Alex Palmer</t>
        </is>
      </c>
      <c r="Q15" s="153">
        <f>Schedule!D21</f>
        <v/>
      </c>
    </row>
    <row r="16"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O16" s="122" t="n">
        <v>8</v>
      </c>
      <c r="P16" s="123" t="inlineStr">
        <is>
          <t>Curtis Lynn</t>
        </is>
      </c>
      <c r="Q16" s="153">
        <f>Schedule!D22</f>
        <v/>
      </c>
    </row>
    <row r="17" ht="16.5" customHeight="1" s="197" thickBot="1">
      <c r="B17" s="145" t="inlineStr">
        <is>
          <t>Charlotte Hayes</t>
        </is>
      </c>
      <c r="C17" s="130" t="inlineStr">
        <is>
          <t>Handicap:</t>
        </is>
      </c>
      <c r="D17" s="180">
        <f>_xlfn.XLOOKUP(B17,$P$9:$P$23,$Q$9:$Q$23)</f>
        <v/>
      </c>
      <c r="E17" s="180" t="n"/>
      <c r="F17" s="180" t="inlineStr">
        <is>
          <t>Tees:</t>
        </is>
      </c>
      <c r="G17" s="173" t="inlineStr">
        <is>
          <t>Blue</t>
        </is>
      </c>
      <c r="H17" s="180" t="n"/>
      <c r="I17" s="180" t="inlineStr">
        <is>
          <t>Holes:</t>
        </is>
      </c>
      <c r="J17" s="180">
        <f>J8</f>
        <v/>
      </c>
      <c r="K17" s="180" t="n"/>
      <c r="L17" s="180" t="n"/>
      <c r="O17" s="122" t="n">
        <v>9</v>
      </c>
      <c r="P17" s="123" t="inlineStr">
        <is>
          <t>Preston Stoner</t>
        </is>
      </c>
      <c r="Q17" s="153">
        <f>Schedule!D23</f>
        <v/>
      </c>
    </row>
    <row r="18" ht="15" customHeight="1" s="197">
      <c r="B18" s="131" t="inlineStr">
        <is>
          <t>HOLE</t>
        </is>
      </c>
      <c r="C18" s="132" t="n">
        <v>1</v>
      </c>
      <c r="D18" s="133" t="n">
        <v>2</v>
      </c>
      <c r="E18" s="134" t="n">
        <v>3</v>
      </c>
      <c r="F18" s="132" t="n">
        <v>4</v>
      </c>
      <c r="G18" s="133" t="n">
        <v>5</v>
      </c>
      <c r="H18" s="134" t="n">
        <v>6</v>
      </c>
      <c r="I18" s="132" t="n">
        <v>7</v>
      </c>
      <c r="J18" s="133" t="n">
        <v>8</v>
      </c>
      <c r="K18" s="134" t="n">
        <v>9</v>
      </c>
      <c r="L18" s="180" t="n"/>
      <c r="M18" s="139" t="n"/>
      <c r="O18" s="122" t="n">
        <v>10</v>
      </c>
      <c r="P18" s="123" t="inlineStr">
        <is>
          <t>Charlotte Hayes</t>
        </is>
      </c>
      <c r="Q18" s="153">
        <f>Schedule!D24</f>
        <v/>
      </c>
    </row>
    <row r="19">
      <c r="B19" s="135" t="inlineStr">
        <is>
          <t>PAR</t>
        </is>
      </c>
      <c r="C19" s="180">
        <f t="array" ref="C19">IF($B$2="Skybrook",
   _xlfn.IFS(
      $J17="Back 9",INDEX($AE$12:$AM$12,1,C18),
      $J17="Front 9",INDEX($U$12:$AC$12,1,C18)
   ),
   _xlfn.IFS(
      $J17="Back 9",INDEX($AY$12:$BG$12,1,C18),
      $J17="Front 9",INDEX($AO$12:$AW$12,1,C18)
   )
)</f>
        <v/>
      </c>
      <c r="D19" s="180">
        <f t="array" ref="D19">IF($B$2="Skybrook",
   _xlfn.IFS(
      $J17="Back 9",INDEX($AE$12:$AM$12,1,D18),
      $J17="Front 9",INDEX($U$12:$AC$12,1,D18)
   ),
   _xlfn.IFS(
      $J17="Back 9",INDEX($AY$12:$BG$12,1,D18),
      $J17="Front 9",INDEX($AO$12:$AW$12,1,D18)
   )
)</f>
        <v/>
      </c>
      <c r="E19" s="137">
        <f t="array" ref="E19">IF($B$2="Skybrook",
   _xlfn.IFS(
      $J17="Back 9",INDEX($AE$12:$AM$12,1,E18),
      $J17="Front 9",INDEX($U$12:$AC$12,1,E18)
   ),
   _xlfn.IFS(
      $J17="Back 9",INDEX($AY$12:$BG$12,1,E18),
      $J17="Front 9",INDEX($AO$12:$AW$12,1,E18)
   )
)</f>
        <v/>
      </c>
      <c r="F19" s="136">
        <f t="array" ref="F19">IF($B$2="Skybrook",
   _xlfn.IFS(
      $J17="Back 9",INDEX($AE$12:$AM$12,1,F18),
      $J17="Front 9",INDEX($U$12:$AC$12,1,F18)
   ),
   _xlfn.IFS(
      $J17="Back 9",INDEX($AY$12:$BG$12,1,F18),
      $J17="Front 9",INDEX($AO$12:$AW$12,1,F18)
   )
)</f>
        <v/>
      </c>
      <c r="G19" s="180">
        <f t="array" ref="G19">IF($B$2="Skybrook",
   _xlfn.IFS(
      $J17="Back 9",INDEX($AE$12:$AM$12,1,G18),
      $J17="Front 9",INDEX($U$12:$AC$12,1,G18)
   ),
   _xlfn.IFS(
      $J17="Back 9",INDEX($AY$12:$BG$12,1,G18),
      $J17="Front 9",INDEX($AO$12:$AW$12,1,G18)
   )
)</f>
        <v/>
      </c>
      <c r="H19" s="137">
        <f t="array" ref="H19">IF($B$2="Skybrook",
   _xlfn.IFS(
      $J17="Back 9",INDEX($AE$12:$AM$12,1,H18),
      $J17="Front 9",INDEX($U$12:$AC$12,1,H18)
   ),
   _xlfn.IFS(
      $J17="Back 9",INDEX($AY$12:$BG$12,1,H18),
      $J17="Front 9",INDEX($AO$12:$AW$12,1,H18)
   )
)</f>
        <v/>
      </c>
      <c r="I19" s="136">
        <f t="array" ref="I19">IF($B$2="Skybrook",
   _xlfn.IFS(
      $J17="Back 9",INDEX($AE$12:$AM$12,1,I18),
      $J17="Front 9",INDEX($U$12:$AC$12,1,I18)
   ),
   _xlfn.IFS(
      $J17="Back 9",INDEX($AY$12:$BG$12,1,I18),
      $J17="Front 9",INDEX($AO$12:$AW$12,1,I18)
   )
)</f>
        <v/>
      </c>
      <c r="J19" s="180">
        <f t="array" ref="J19">IF($B$2="Skybrook",
   _xlfn.IFS(
      $J17="Back 9",INDEX($AE$12:$AM$12,1,J18),
      $J17="Front 9",INDEX($U$12:$AC$12,1,J18)
   ),
   _xlfn.IFS(
      $J17="Back 9",INDEX($AY$12:$BG$12,1,J18),
      $J17="Front 9",INDEX($AO$12:$AW$12,1,J18)
   )
)</f>
        <v/>
      </c>
      <c r="K19" s="137">
        <f t="array" ref="K19">IF($B$2="Skybrook",
   _xlfn.IFS(
      $J17="Back 9",INDEX($AE$12:$AM$12,1,K18),
      $J17="Front 9",INDEX($U$12:$AC$12,1,K18)
   ),
   _xlfn.IFS(
      $J17="Back 9",INDEX($AY$12:$BG$12,1,K18),
      $J17="Front 9",INDEX($AO$12:$AW$12,1,K18)
   )
)</f>
        <v/>
      </c>
      <c r="L19" s="180">
        <f>SUM(C19:K19)</f>
        <v/>
      </c>
      <c r="O19" s="122">
        <f>O18+1</f>
        <v/>
      </c>
      <c r="P19" s="123" t="inlineStr">
        <is>
          <t>David Maddox</t>
        </is>
      </c>
      <c r="Q19" s="153">
        <f>Schedule!D25</f>
        <v/>
      </c>
    </row>
    <row r="20">
      <c r="B20" s="135" t="inlineStr">
        <is>
          <t>HC</t>
        </is>
      </c>
      <c r="C20" s="180">
        <f t="array" ref="C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D20" s="180">
        <f t="array" ref="D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E20" s="137">
        <f t="array" ref="E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F20" s="136">
        <f t="array" ref="F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G20" s="180">
        <f t="array" ref="G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H20" s="137">
        <f t="array" ref="H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I20" s="136">
        <f t="array" ref="I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J20" s="180">
        <f t="array" ref="J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K20" s="137">
        <f t="array" ref="K20">IF($B$2="Skybrook",
   _xlfn.IFS(
      $J17="Back 9",VLOOKUP($G17,$AD$9:$AM$11,COLUMN()-1,0),
      $J17="Front 9",VLOOKUP($G17,$T$9:$AC$11,COLUMN()-1,0)
   ),
   _xlfn.IFS(
      $J17="Back 9",VLOOKUP($G17,$AX$9:$BG$11,COLUMN()-1,0),
      $J17="Front 9",VLOOKUP($G17,$AN$9:$AW$11,COLUMN()-1,0)
   )
)</f>
        <v/>
      </c>
      <c r="L20" s="180" t="n"/>
      <c r="O20" s="122" t="n">
        <v>12</v>
      </c>
      <c r="P20" s="123" t="inlineStr">
        <is>
          <t>Jerome Martin</t>
        </is>
      </c>
      <c r="Q20" s="153">
        <f>Schedule!D26</f>
        <v/>
      </c>
    </row>
    <row r="21" ht="15" customHeight="1" s="197">
      <c r="B21" s="138" t="inlineStr">
        <is>
          <t>GROSS</t>
        </is>
      </c>
      <c r="C21" s="146" t="n">
        <v>8</v>
      </c>
      <c r="D21" s="147" t="n">
        <v>8</v>
      </c>
      <c r="E21" s="148" t="n">
        <v>5</v>
      </c>
      <c r="F21" s="146" t="n">
        <v>8</v>
      </c>
      <c r="G21" s="147" t="n">
        <v>8</v>
      </c>
      <c r="H21" s="148" t="n">
        <v>6</v>
      </c>
      <c r="I21" s="146" t="n">
        <v>9</v>
      </c>
      <c r="J21" s="147" t="n">
        <v>8</v>
      </c>
      <c r="K21" s="148" t="n">
        <v>8</v>
      </c>
      <c r="L21" s="180">
        <f>SUM(C21:K21)</f>
        <v/>
      </c>
      <c r="M21" s="139">
        <f>SUM(C21:K21)-SUM(C$10:K$10)</f>
        <v/>
      </c>
      <c r="O21" s="122" t="n">
        <v>13</v>
      </c>
      <c r="P21" s="123" t="inlineStr">
        <is>
          <t>Kaylan Adams</t>
        </is>
      </c>
      <c r="Q21" s="153">
        <f>Schedule!D27</f>
        <v/>
      </c>
    </row>
    <row r="22">
      <c r="B22" s="135" t="inlineStr">
        <is>
          <t>Strokes</t>
        </is>
      </c>
      <c r="C22" s="136">
        <f>INT($D$17/18)+IF(C20&lt;=MOD($D$17,18),1,0)</f>
        <v/>
      </c>
      <c r="D22" s="180">
        <f>INT($D$17/18)+IF(D20&lt;=MOD($D$17,18),1,0)</f>
        <v/>
      </c>
      <c r="E22" s="137">
        <f>INT($D$17/18)+IF(E20&lt;=MOD($D$17,18),1,0)</f>
        <v/>
      </c>
      <c r="F22" s="136">
        <f>INT($D$17/18)+IF(F20&lt;=MOD($D$17,18),1,0)</f>
        <v/>
      </c>
      <c r="G22" s="180">
        <f>INT($D$17/18)+IF(G20&lt;=MOD($D$17,18),1,0)</f>
        <v/>
      </c>
      <c r="H22" s="137">
        <f>INT($D$17/18)+IF(H20&lt;=MOD($D$17,18),1,0)</f>
        <v/>
      </c>
      <c r="I22" s="136">
        <f>INT($D$17/18)+IF(I20&lt;=MOD($D$17,18),1,0)</f>
        <v/>
      </c>
      <c r="J22" s="180">
        <f>INT($D$17/18)+IF(J20&lt;=MOD($D$17,18),1,0)</f>
        <v/>
      </c>
      <c r="K22" s="137">
        <f>INT($D$17/18)+IF(K20&lt;=MOD($D$17,18),1,0)</f>
        <v/>
      </c>
      <c r="L22" s="139" t="n"/>
      <c r="O22" s="122" t="n">
        <v>14</v>
      </c>
      <c r="P22" s="123" t="inlineStr">
        <is>
          <t>Megan Serian</t>
        </is>
      </c>
      <c r="Q22" s="153">
        <f>Schedule!D28</f>
        <v/>
      </c>
    </row>
    <row r="23">
      <c r="B23" s="135" t="inlineStr">
        <is>
          <t>NET</t>
        </is>
      </c>
      <c r="C23" s="136">
        <f>C21-C22</f>
        <v/>
      </c>
      <c r="D23" s="180">
        <f>D21-D22</f>
        <v/>
      </c>
      <c r="E23" s="137">
        <f>E21-E22</f>
        <v/>
      </c>
      <c r="F23" s="136">
        <f>F21-F22</f>
        <v/>
      </c>
      <c r="G23" s="180">
        <f>G21-G22</f>
        <v/>
      </c>
      <c r="H23" s="137">
        <f>H21-H22</f>
        <v/>
      </c>
      <c r="I23" s="136">
        <f>I21-I22</f>
        <v/>
      </c>
      <c r="J23" s="180">
        <f>J21-J22</f>
        <v/>
      </c>
      <c r="K23" s="137">
        <f>K21-K22</f>
        <v/>
      </c>
      <c r="L23" s="155">
        <f>SUM(C23:K23)</f>
        <v/>
      </c>
      <c r="M23" s="139">
        <f>SUM(C23:K23)-SUM(C$10:K$10)</f>
        <v/>
      </c>
      <c r="O23" s="122" t="n">
        <v>15</v>
      </c>
      <c r="P23" s="123" t="inlineStr">
        <is>
          <t>Nick Coglianese</t>
        </is>
      </c>
      <c r="Q23" s="153">
        <f>Schedule!D29</f>
        <v/>
      </c>
    </row>
    <row r="24" ht="14.25" customHeight="1" s="197" thickBot="1">
      <c r="B24" s="140" t="inlineStr">
        <is>
          <t>Wins Hole</t>
        </is>
      </c>
      <c r="C24" s="124">
        <f>IF(C23&lt;C14,1,0)</f>
        <v/>
      </c>
      <c r="D24" s="141">
        <f>IF(D23&lt;D14,1,0)</f>
        <v/>
      </c>
      <c r="E24" s="142">
        <f>IF(E23&lt;E14,1,0)</f>
        <v/>
      </c>
      <c r="F24" s="124">
        <f>IF(F23&lt;F14,1,0)</f>
        <v/>
      </c>
      <c r="G24" s="141">
        <f>IF(G23&lt;G14,1,0)</f>
        <v/>
      </c>
      <c r="H24" s="142">
        <f>IF(H23&lt;H14,1,0)</f>
        <v/>
      </c>
      <c r="I24" s="124">
        <f>IF(I23&lt;I14,1,0)</f>
        <v/>
      </c>
      <c r="J24" s="141">
        <f>IF(J23&lt;J14,1,0)</f>
        <v/>
      </c>
      <c r="K24" s="142">
        <f>IF(K23&lt;K14,1,0)</f>
        <v/>
      </c>
      <c r="L24" s="180" t="n"/>
    </row>
  </sheetData>
  <mergeCells count="13">
    <mergeCell ref="L2:M2"/>
    <mergeCell ref="AO8:AW8"/>
    <mergeCell ref="J3:K5"/>
    <mergeCell ref="J2:K2"/>
    <mergeCell ref="B3:B4"/>
    <mergeCell ref="T7:AM7"/>
    <mergeCell ref="J1:M1"/>
    <mergeCell ref="AD8:AM8"/>
    <mergeCell ref="AX8:BG8"/>
    <mergeCell ref="AN7:BG7"/>
    <mergeCell ref="L3:M5"/>
    <mergeCell ref="U8:AC8"/>
    <mergeCell ref="B5:B6"/>
  </mergeCells>
  <conditionalFormatting sqref="C15:K15 C24:K24">
    <cfRule type="cellIs" priority="1" operator="greaterThan" dxfId="0">
      <formula>0.5</formula>
    </cfRule>
  </conditionalFormatting>
  <dataValidations count="4">
    <dataValidation sqref="J8 J17" showDropDown="0" showInputMessage="1" showErrorMessage="1" allowBlank="0" type="list">
      <formula1>$U$8:$AD$8</formula1>
    </dataValidation>
    <dataValidation sqref="B2" showDropDown="0" showInputMessage="1" showErrorMessage="1" allowBlank="1" type="list">
      <formula1>$T$7:$BG$7</formula1>
    </dataValidation>
    <dataValidation sqref="G8 G17 G29" showDropDown="0" showInputMessage="1" showErrorMessage="1" allowBlank="1" type="list">
      <formula1>INDIRECT(SUBSTITUTE($B$2," ","_"))</formula1>
    </dataValidation>
    <dataValidation sqref="B8 B17" showDropDown="0" showInputMessage="1" showErrorMessage="1" allowBlank="1" type="list">
      <formula1>$P$9:$P$23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C2:D5"/>
  <sheetViews>
    <sheetView workbookViewId="0">
      <selection activeCell="H25" sqref="H25"/>
    </sheetView>
  </sheetViews>
  <sheetFormatPr baseColWidth="8" defaultRowHeight="12.75"/>
  <cols>
    <col width="8.85546875" bestFit="1" customWidth="1" style="197" min="3" max="3"/>
    <col width="14.140625" bestFit="1" customWidth="1" style="197" min="4" max="4"/>
  </cols>
  <sheetData>
    <row r="2">
      <c r="C2" t="inlineStr">
        <is>
          <t>Skybrook</t>
        </is>
      </c>
      <c r="D2" t="inlineStr">
        <is>
          <t>Highland_Creek</t>
        </is>
      </c>
    </row>
    <row r="3">
      <c r="C3" t="inlineStr">
        <is>
          <t>Blue</t>
        </is>
      </c>
      <c r="D3" t="inlineStr">
        <is>
          <t>Blue</t>
        </is>
      </c>
    </row>
    <row r="4">
      <c r="C4" t="inlineStr">
        <is>
          <t>Green</t>
        </is>
      </c>
      <c r="D4" t="inlineStr">
        <is>
          <t>White</t>
        </is>
      </c>
    </row>
    <row r="5">
      <c r="C5" t="inlineStr">
        <is>
          <t>Red</t>
        </is>
      </c>
      <c r="D5" t="inlineStr">
        <is>
          <t>Red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M15"/>
  <sheetViews>
    <sheetView zoomScale="90" zoomScaleNormal="90" workbookViewId="0">
      <selection activeCell="C14" sqref="C14"/>
    </sheetView>
  </sheetViews>
  <sheetFormatPr baseColWidth="8" defaultRowHeight="12.75"/>
  <cols>
    <col width="18" bestFit="1" customWidth="1" style="197" min="1" max="1"/>
    <col width="28" bestFit="1" customWidth="1" style="196" min="2" max="2"/>
    <col width="28.5703125" bestFit="1" customWidth="1" style="197" min="3" max="3"/>
    <col width="31.7109375" bestFit="1" customWidth="1" style="197" min="4" max="4"/>
    <col width="29.42578125" bestFit="1" customWidth="1" style="197" min="5" max="5"/>
    <col width="26.42578125" bestFit="1" customWidth="1" style="197" min="6" max="6"/>
    <col width="28.85546875" bestFit="1" customWidth="1" style="197" min="7" max="7"/>
    <col width="27.7109375" bestFit="1" customWidth="1" style="197" min="8" max="8"/>
    <col width="28" bestFit="1" customWidth="1" style="197" min="9" max="9"/>
    <col width="28.5703125" bestFit="1" customWidth="1" style="197" min="10" max="10"/>
    <col width="31.7109375" bestFit="1" customWidth="1" style="197" min="11" max="11"/>
    <col width="29.42578125" bestFit="1" customWidth="1" style="197" min="12" max="12"/>
    <col width="26.42578125" bestFit="1" customWidth="1" style="197" min="13" max="13"/>
  </cols>
  <sheetData>
    <row r="1" ht="23.25" customHeight="1" s="197">
      <c r="A1" s="193" t="inlineStr">
        <is>
          <t>2024 Bechtel Golf League Schedule Tee Time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 ht="30" customFormat="1" customHeight="1" s="228">
      <c r="A2" s="10" t="inlineStr">
        <is>
          <t>TEE TIME</t>
        </is>
      </c>
      <c r="B2" s="11" t="n">
        <v>45551</v>
      </c>
      <c r="C2" s="11" t="n">
        <v>45552</v>
      </c>
      <c r="D2" s="11" t="n">
        <v>45553</v>
      </c>
      <c r="E2" s="11" t="n">
        <v>45554</v>
      </c>
      <c r="F2" s="11" t="n">
        <v>45555</v>
      </c>
      <c r="G2" s="11" t="n">
        <v>45556</v>
      </c>
      <c r="H2" s="11" t="n">
        <v>45557</v>
      </c>
      <c r="I2" s="11" t="n">
        <v>45558</v>
      </c>
      <c r="J2" s="11" t="n">
        <v>45559</v>
      </c>
      <c r="K2" s="11" t="n">
        <v>45560</v>
      </c>
      <c r="L2" s="11" t="n">
        <v>45561</v>
      </c>
      <c r="M2" s="11" t="n">
        <v>45562</v>
      </c>
    </row>
    <row r="3" ht="30" customHeight="1" s="197">
      <c r="A3" s="8" t="n">
        <v>0.6666666666666666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 ht="30" customHeight="1" s="197">
      <c r="A4" s="8" t="n">
        <v>0.6736111111111112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30" customHeight="1" s="197">
      <c r="A5" s="8" t="n">
        <v>0.6805555555555556</v>
      </c>
      <c r="B5" s="9" t="n"/>
      <c r="C5" s="9" t="inlineStr">
        <is>
          <t>10 vs. 16</t>
        </is>
      </c>
      <c r="D5" s="9" t="inlineStr">
        <is>
          <t>3 vs 5, 4 vs 7</t>
        </is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30" customHeight="1" s="197">
      <c r="A6" s="8" t="n">
        <v>0.6875</v>
      </c>
      <c r="B6" s="9" t="n"/>
      <c r="C6" s="9" t="n"/>
      <c r="D6" s="9" t="n"/>
      <c r="E6" s="9" t="n"/>
      <c r="F6" s="9" t="n"/>
      <c r="G6" s="9" t="n"/>
      <c r="H6" s="9" t="n"/>
      <c r="I6" s="9" t="inlineStr">
        <is>
          <t>8 vs 14</t>
        </is>
      </c>
      <c r="J6" s="9" t="n"/>
      <c r="K6" s="9" t="n"/>
      <c r="L6" s="9" t="n"/>
      <c r="M6" s="9" t="n"/>
    </row>
    <row r="7" ht="30" customHeight="1" s="197">
      <c r="A7" s="8" t="n">
        <v>0.6944444444444444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30" customHeight="1" s="197">
      <c r="A8" s="8" t="n">
        <v>0.7013888888888888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30" customHeight="1" s="197">
      <c r="A9" s="8" t="n">
        <v>0.7083333333333334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30" customHeight="1" s="197">
      <c r="A10" s="8" t="n">
        <v>0.7152777777777778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30" customHeight="1" s="197">
      <c r="A11" s="8" t="n">
        <v>0.7222222222222222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30" customHeight="1" s="197">
      <c r="A12" s="8" t="n">
        <v>0.7291666666666666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30" customHeight="1" s="197">
      <c r="A13" s="8" t="n">
        <v>0.7361111111111112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30" customHeight="1" s="197">
      <c r="A14" s="8" t="n">
        <v>0.7430555555555556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30" customHeight="1" s="197">
      <c r="A15" s="8" t="n">
        <v>0.75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M16"/>
  <sheetViews>
    <sheetView zoomScale="90" zoomScaleNormal="90" workbookViewId="0">
      <selection activeCell="E8" sqref="E8"/>
    </sheetView>
  </sheetViews>
  <sheetFormatPr baseColWidth="8" defaultRowHeight="12.75"/>
  <cols>
    <col width="24.5703125" bestFit="1" customWidth="1" style="197" min="1" max="1"/>
    <col width="26.28515625" bestFit="1" customWidth="1" style="196" min="2" max="2"/>
    <col width="27.140625" bestFit="1" customWidth="1" style="197" min="3" max="3"/>
    <col width="30" bestFit="1" customWidth="1" style="197" min="4" max="4"/>
    <col width="27.85546875" bestFit="1" customWidth="1" style="197" min="5" max="5"/>
    <col width="24.85546875" bestFit="1" customWidth="1" style="197" min="6" max="6"/>
    <col hidden="1" width="26.28515625" customWidth="1" style="197" min="7" max="7"/>
    <col hidden="1" width="24.85546875" customWidth="1" style="197" min="8" max="8"/>
    <col width="26.28515625" bestFit="1" customWidth="1" style="197" min="9" max="9"/>
    <col width="27.140625" bestFit="1" customWidth="1" style="197" min="10" max="10"/>
    <col width="30" bestFit="1" customWidth="1" style="197" min="11" max="11"/>
    <col width="27.85546875" bestFit="1" customWidth="1" style="197" min="12" max="12"/>
    <col width="24.85546875" bestFit="1" customWidth="1" style="197" min="13" max="13"/>
  </cols>
  <sheetData>
    <row r="1" ht="23.25" customHeight="1" s="197">
      <c r="A1" s="193" t="inlineStr">
        <is>
          <t>2024 Bechtel Golf League Schedule Tee Time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 ht="30" customFormat="1" customHeight="1" s="228">
      <c r="A2" s="10" t="inlineStr">
        <is>
          <t>TEE TIME</t>
        </is>
      </c>
      <c r="B2" s="11" t="n">
        <v>45565</v>
      </c>
      <c r="C2" s="11" t="n">
        <v>45566</v>
      </c>
      <c r="D2" s="11" t="n">
        <v>45567</v>
      </c>
      <c r="E2" s="11" t="n">
        <v>45568</v>
      </c>
      <c r="F2" s="11" t="n">
        <v>45569</v>
      </c>
      <c r="G2" s="11" t="n">
        <v>45570</v>
      </c>
      <c r="H2" s="11" t="n">
        <v>45571</v>
      </c>
      <c r="I2" s="11" t="n">
        <v>45572</v>
      </c>
      <c r="J2" s="11" t="n">
        <v>45573</v>
      </c>
      <c r="K2" s="11" t="n">
        <v>45574</v>
      </c>
      <c r="L2" s="11" t="n">
        <v>45575</v>
      </c>
      <c r="M2" s="11" t="n">
        <v>45576</v>
      </c>
    </row>
    <row r="3" ht="30" customHeight="1" s="197">
      <c r="A3" s="8" t="n">
        <v>0.6597222222222222</v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inlineStr">
        <is>
          <t>7 vs 14, 3 vs 4 (makeup)</t>
        </is>
      </c>
      <c r="M3" s="9" t="n"/>
    </row>
    <row r="4" ht="30" customHeight="1" s="197">
      <c r="A4" s="8" t="n">
        <v>0.6666666666666666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30" customHeight="1" s="197">
      <c r="A5" s="8" t="n">
        <v>0.6736111111111112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30" customHeight="1" s="197">
      <c r="A6" s="8" t="n">
        <v>0.6805555555555556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30" customHeight="1" s="197">
      <c r="A7" s="8" t="n">
        <v>0.6875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30" customHeight="1" s="197">
      <c r="A8" s="8" t="n">
        <v>0.6944444444444444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30" customHeight="1" s="197">
      <c r="A9" s="8" t="n">
        <v>0.7013888888888888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30" customHeight="1" s="197">
      <c r="A10" s="8" t="n">
        <v>0.7083333333333334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30" customHeight="1" s="197">
      <c r="A11" s="8" t="n">
        <v>0.7152777777777778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30" customHeight="1" s="197">
      <c r="A12" s="8" t="n">
        <v>0.7222222222222222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30" customHeight="1" s="197">
      <c r="A13" s="8" t="n">
        <v>0.7291666666666666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30" customHeight="1" s="197">
      <c r="A14" s="8" t="n">
        <v>0.7361111111111112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30" customHeight="1" s="197">
      <c r="A15" s="8" t="n">
        <v>0.7430555555555556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 ht="30" customHeight="1" s="197">
      <c r="A16" s="8" t="n">
        <v>0.75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</sheetData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M16"/>
  <sheetViews>
    <sheetView zoomScale="90" zoomScaleNormal="90" workbookViewId="0">
      <selection activeCell="K23" sqref="K23"/>
    </sheetView>
  </sheetViews>
  <sheetFormatPr baseColWidth="8" defaultRowHeight="12.75"/>
  <cols>
    <col width="24.5703125" bestFit="1" customWidth="1" style="197" min="1" max="1"/>
    <col width="26.28515625" bestFit="1" customWidth="1" style="196" min="2" max="2"/>
    <col width="27.140625" bestFit="1" customWidth="1" style="197" min="3" max="3"/>
    <col width="30" bestFit="1" customWidth="1" style="197" min="4" max="4"/>
    <col width="27.85546875" bestFit="1" customWidth="1" style="197" min="5" max="5"/>
    <col width="24.85546875" bestFit="1" customWidth="1" style="197" min="6" max="6"/>
    <col hidden="1" width="26.28515625" customWidth="1" style="197" min="7" max="7"/>
    <col hidden="1" width="24.85546875" customWidth="1" style="197" min="8" max="8"/>
    <col width="26.28515625" bestFit="1" customWidth="1" style="197" min="9" max="9"/>
    <col width="27.140625" bestFit="1" customWidth="1" style="197" min="10" max="10"/>
    <col width="30" bestFit="1" customWidth="1" style="197" min="11" max="11"/>
    <col width="27.85546875" customWidth="1" style="197" min="12" max="12"/>
    <col width="24.85546875" bestFit="1" customWidth="1" style="197" min="13" max="13"/>
  </cols>
  <sheetData>
    <row r="1" ht="23.25" customHeight="1" s="197">
      <c r="A1" s="193" t="inlineStr">
        <is>
          <t>2024 Bechtel Golf League Schedule Tee Time</t>
        </is>
      </c>
      <c r="B1" s="194" t="n"/>
      <c r="C1" s="194" t="n"/>
      <c r="D1" s="194" t="n"/>
      <c r="E1" s="194" t="n"/>
      <c r="F1" s="194" t="n"/>
      <c r="G1" s="194" t="n"/>
      <c r="H1" s="194" t="n"/>
      <c r="I1" s="194" t="n"/>
      <c r="J1" s="194" t="n"/>
      <c r="K1" s="194" t="n"/>
      <c r="L1" s="194" t="n"/>
      <c r="M1" s="194" t="n"/>
    </row>
    <row r="2" ht="30" customFormat="1" customHeight="1" s="228">
      <c r="A2" s="10" t="inlineStr">
        <is>
          <t>TEE TIME</t>
        </is>
      </c>
      <c r="B2" s="11" t="n">
        <v>45579</v>
      </c>
      <c r="C2" s="11" t="n">
        <v>45580</v>
      </c>
      <c r="D2" s="11" t="n">
        <v>45581</v>
      </c>
      <c r="E2" s="11" t="n">
        <v>45582</v>
      </c>
      <c r="F2" s="11" t="n">
        <v>45583</v>
      </c>
      <c r="G2" s="11" t="n">
        <v>45584</v>
      </c>
      <c r="H2" s="11" t="n">
        <v>45585</v>
      </c>
      <c r="I2" s="11" t="n">
        <v>45586</v>
      </c>
      <c r="J2" s="11" t="n">
        <v>45587</v>
      </c>
      <c r="K2" s="11" t="n">
        <v>45588</v>
      </c>
      <c r="L2" s="11" t="n">
        <v>45589</v>
      </c>
      <c r="M2" s="11" t="n">
        <v>45590</v>
      </c>
    </row>
    <row r="3" ht="30" customFormat="1" customHeight="1" s="228">
      <c r="A3" s="8" t="n">
        <v>0.6597222222222222</v>
      </c>
      <c r="B3" s="30" t="n"/>
      <c r="C3" s="30" t="inlineStr">
        <is>
          <t>10 v 15 (Make-up)</t>
        </is>
      </c>
      <c r="D3" s="1" t="inlineStr">
        <is>
          <t>16 vs 17</t>
        </is>
      </c>
      <c r="E3" s="30" t="n"/>
      <c r="F3" s="30" t="n"/>
      <c r="G3" s="30" t="n"/>
      <c r="H3" s="30" t="n"/>
      <c r="I3" s="30" t="n"/>
      <c r="J3" s="30" t="n"/>
      <c r="K3" s="30" t="inlineStr">
        <is>
          <t>17 vs. 16</t>
        </is>
      </c>
      <c r="L3" s="30" t="n"/>
      <c r="M3" s="30" t="n"/>
    </row>
    <row r="4" ht="30" customHeight="1" s="197">
      <c r="A4" s="8" t="n">
        <v>0.6666666666666666</v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30" customHeight="1" s="197">
      <c r="A5" s="8" t="n">
        <v>0.6736111111111112</v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 ht="30" customHeight="1" s="197">
      <c r="A6" s="8" t="n">
        <v>0.6805555555555556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30" customHeight="1" s="197">
      <c r="A7" s="8" t="n">
        <v>0.6875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 ht="30" customHeight="1" s="197">
      <c r="A8" s="8" t="n">
        <v>0.6944444444444444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30" customHeight="1" s="197">
      <c r="A9" s="8" t="n">
        <v>0.7013888888888888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 ht="30" customHeight="1" s="197">
      <c r="A10" s="8" t="n">
        <v>0.7083333333333334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30" customHeight="1" s="197">
      <c r="A11" s="8" t="n">
        <v>0.7152777777777778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 ht="30" customHeight="1" s="197">
      <c r="A12" s="8" t="n">
        <v>0.7222222222222222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30" customHeight="1" s="197">
      <c r="A13" s="8" t="n">
        <v>0.7291666666666666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 ht="30" customHeight="1" s="197">
      <c r="A14" s="8" t="n">
        <v>0.7361111111111112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30" customHeight="1" s="197">
      <c r="A15" s="8" t="n">
        <v>0.7430555555555556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 ht="30" customHeight="1" s="197">
      <c r="A16" s="8" t="n">
        <v>0.75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High, Ethan</dc:creator>
  <dcterms:created xmlns:dcterms="http://purl.org/dc/terms/" xmlns:xsi="http://www.w3.org/2001/XMLSchema-instance" xsi:type="dcterms:W3CDTF">2024-07-07T22:40:09Z</dcterms:created>
  <dcterms:modified xmlns:dcterms="http://purl.org/dc/terms/" xmlns:xsi="http://www.w3.org/2001/XMLSchema-instance" xsi:type="dcterms:W3CDTF">2026-09-29T12:58:31Z</dcterms:modified>
  <cp:lastModifiedBy>Ethan High</cp:lastModifiedBy>
</cp:coreProperties>
</file>

<file path=docProps/custom.xml><?xml version="1.0" encoding="utf-8"?>
<Properties xmlns="http://schemas.openxmlformats.org/officeDocument/2006/custom-properties">
  <property name="MSIP_Label_67c4d06e-487d-4037-8bcc-68585ad0649c_Enabled" fmtid="{D5CDD505-2E9C-101B-9397-08002B2CF9AE}" pid="2">
    <vt:lpwstr xmlns:vt="http://schemas.openxmlformats.org/officeDocument/2006/docPropsVTypes">true</vt:lpwstr>
  </property>
  <property name="MSIP_Label_67c4d06e-487d-4037-8bcc-68585ad0649c_SetDate" fmtid="{D5CDD505-2E9C-101B-9397-08002B2CF9AE}" pid="3">
    <vt:lpwstr xmlns:vt="http://schemas.openxmlformats.org/officeDocument/2006/docPropsVTypes">2024-07-07T22:41:13Z</vt:lpwstr>
  </property>
  <property name="MSIP_Label_67c4d06e-487d-4037-8bcc-68585ad0649c_Method" fmtid="{D5CDD505-2E9C-101B-9397-08002B2CF9AE}" pid="4">
    <vt:lpwstr xmlns:vt="http://schemas.openxmlformats.org/officeDocument/2006/docPropsVTypes">Privileged</vt:lpwstr>
  </property>
  <property name="MSIP_Label_67c4d06e-487d-4037-8bcc-68585ad0649c_Name" fmtid="{D5CDD505-2E9C-101B-9397-08002B2CF9AE}" pid="5">
    <vt:lpwstr xmlns:vt="http://schemas.openxmlformats.org/officeDocument/2006/docPropsVTypes">Personal</vt:lpwstr>
  </property>
  <property name="MSIP_Label_67c4d06e-487d-4037-8bcc-68585ad0649c_SiteId" fmtid="{D5CDD505-2E9C-101B-9397-08002B2CF9AE}" pid="6">
    <vt:lpwstr xmlns:vt="http://schemas.openxmlformats.org/officeDocument/2006/docPropsVTypes">22d635a3-3930-4779-a82d-155e2d13b75e</vt:lpwstr>
  </property>
  <property name="MSIP_Label_67c4d06e-487d-4037-8bcc-68585ad0649c_ActionId" fmtid="{D5CDD505-2E9C-101B-9397-08002B2CF9AE}" pid="7">
    <vt:lpwstr xmlns:vt="http://schemas.openxmlformats.org/officeDocument/2006/docPropsVTypes">6a25481f-915e-4c14-8a9b-a705a376af3f</vt:lpwstr>
  </property>
  <property name="MSIP_Label_67c4d06e-487d-4037-8bcc-68585ad0649c_ContentBits" fmtid="{D5CDD505-2E9C-101B-9397-08002B2CF9AE}" pid="8">
    <vt:lpwstr xmlns:vt="http://schemas.openxmlformats.org/officeDocument/2006/docPropsVTypes">0</vt:lpwstr>
  </property>
</Properties>
</file>