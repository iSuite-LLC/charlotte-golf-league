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9900" yWindow="1470" windowWidth="28800" windowHeight="15345" tabRatio="714" firstSheet="5" activeTab="5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hidden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17" fillId="5" borderId="19" applyAlignment="1" pivotButton="0" quotePrefix="0" xfId="3">
      <alignment horizontal="center" vertical="center" wrapText="1"/>
    </xf>
    <xf numFmtId="0" fontId="0" fillId="0" borderId="19" pivotButton="0" quotePrefix="0" xfId="0"/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0" fillId="0" borderId="9" pivotButton="0" quotePrefix="0" xfId="0"/>
    <xf numFmtId="0" fontId="13" fillId="5" borderId="19" applyAlignment="1" pivotButton="0" quotePrefix="0" xfId="3">
      <alignment horizontal="center" vertical="center"/>
    </xf>
    <xf numFmtId="0" fontId="3" fillId="0" borderId="2" applyAlignment="1" pivotButton="0" quotePrefix="0" xfId="0">
      <alignment horizontal="center"/>
    </xf>
    <xf numFmtId="0" fontId="0" fillId="0" borderId="2" pivotButton="0" quotePrefix="0" xfId="0"/>
    <xf numFmtId="0" fontId="3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40625" defaultRowHeight="12.75"/>
  <cols>
    <col width="3.140625" customWidth="1" style="228" min="1" max="1"/>
    <col width="18" bestFit="1" customWidth="1" style="228" min="2" max="2"/>
    <col width="12.140625" bestFit="1" customWidth="1" style="228" min="3" max="3"/>
    <col width="9.140625" customWidth="1" style="228" min="4" max="11"/>
    <col width="11.5703125" customWidth="1" style="228" min="12" max="13"/>
    <col width="9.140625" customWidth="1" style="228" min="14" max="30"/>
    <col width="9.140625" customWidth="1" style="228" min="31" max="16384"/>
  </cols>
  <sheetData>
    <row r="1" ht="13.5" customHeight="1" s="197" thickBot="1">
      <c r="M1" s="229" t="inlineStr">
        <is>
          <t>Tiebreaker</t>
        </is>
      </c>
      <c r="N1" s="21" t="n"/>
    </row>
    <row r="2" ht="41.45" customHeight="1" s="197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5" customHeight="1" s="197" thickBot="1">
      <c r="A3" s="228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5" customHeight="1" s="197" thickBot="1">
      <c r="A4" s="228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5" customHeight="1" s="197" thickBot="1">
      <c r="A5" s="228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5" customHeight="1" s="197" thickBot="1">
      <c r="A6" s="228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5" customHeight="1" s="197" thickBot="1">
      <c r="A7" s="228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5" customHeight="1" s="197" thickBot="1">
      <c r="A8" s="228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5" customHeight="1" s="197" thickBot="1">
      <c r="A9" s="228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5" customHeight="1" s="197" thickBot="1">
      <c r="A10" s="228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5" customHeight="1" s="197" thickBot="1">
      <c r="A11" s="228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5" customHeight="1" s="197" thickBot="1">
      <c r="A12" s="228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5" customHeight="1" s="197" thickBot="1">
      <c r="A13" s="228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5" customHeight="1" s="197" thickBot="1">
      <c r="A14" s="228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5" customHeight="1" s="197" thickBot="1">
      <c r="A15" s="228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5" customHeight="1" s="197" thickBot="1">
      <c r="A16" s="228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5" customHeight="1" s="197" thickBot="1">
      <c r="A17" s="228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5" customHeight="1" s="197" thickBot="1">
      <c r="A18" s="228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5" customHeight="1" s="197" thickBot="1">
      <c r="A19" s="228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5" customHeight="1" s="197">
      <c r="A20" s="228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2.75"/>
  <cols>
    <col width="18" bestFit="1" customWidth="1" style="197" min="1" max="1"/>
    <col width="27" bestFit="1" customWidth="1" style="196" min="2" max="2"/>
    <col width="27.7109375" bestFit="1" customWidth="1" style="197" min="3" max="3"/>
    <col width="30.7109375" bestFit="1" customWidth="1" style="197" min="4" max="4"/>
    <col width="28.5703125" bestFit="1" customWidth="1" style="197" min="5" max="5"/>
    <col width="25.140625" bestFit="1" customWidth="1" style="197" min="6" max="6"/>
    <col width="27.85546875" bestFit="1" customWidth="1" style="197" min="7" max="7"/>
    <col width="26.5703125" bestFit="1" customWidth="1" style="197" min="8" max="8"/>
    <col width="27" bestFit="1" customWidth="1" style="197" min="9" max="9"/>
    <col width="28.7109375" bestFit="1" customWidth="1" style="197" min="10" max="10"/>
    <col width="31.7109375" bestFit="1" customWidth="1" style="197" min="11" max="11"/>
    <col width="29.5703125" bestFit="1" customWidth="1" style="197" min="12" max="12"/>
    <col width="26.425781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97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97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2.75"/>
  <cols>
    <col width="24.5703125" bestFit="1" customWidth="1" style="197" min="1" max="1"/>
    <col width="21.140625" bestFit="1" customWidth="1" style="196" min="2" max="2"/>
    <col width="21.7109375" bestFit="1" customWidth="1" style="197" min="3" max="3"/>
    <col width="24.5703125" bestFit="1" customWidth="1" style="197" min="4" max="4"/>
    <col width="22.28515625" bestFit="1" customWidth="1" style="197" min="5" max="5"/>
    <col width="19.5703125" bestFit="1" customWidth="1" style="197" min="6" max="6"/>
    <col hidden="1" width="22.140625" customWidth="1" style="197" min="7" max="7"/>
    <col hidden="1" width="20.7109375" customWidth="1" style="197" min="8" max="8"/>
    <col width="21" bestFit="1" customWidth="1" style="197" min="9" max="9"/>
    <col width="21.5703125" bestFit="1" customWidth="1" style="197" min="10" max="10"/>
    <col width="24.5703125" bestFit="1" customWidth="1" style="197" min="11" max="11"/>
    <col width="24.28515625" bestFit="1" customWidth="1" style="197" min="12" max="12"/>
    <col width="21.1406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97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2.75"/>
  <cols>
    <col width="24.5703125" bestFit="1" customWidth="1" style="197" min="1" max="1"/>
    <col width="25.7109375" customWidth="1" style="196" min="2" max="2"/>
    <col width="25.7109375" customWidth="1" style="197" min="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97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2.75"/>
  <cols>
    <col width="18" bestFit="1" customWidth="1" style="197" min="1" max="1"/>
    <col width="24" bestFit="1" customWidth="1" style="196" min="2" max="2"/>
    <col width="24.5703125" bestFit="1" customWidth="1" style="197" min="3" max="3"/>
    <col width="27.5703125" bestFit="1" customWidth="1" style="197" min="4" max="4"/>
    <col width="25.42578125" bestFit="1" customWidth="1" style="197" min="5" max="5"/>
    <col width="22.140625" bestFit="1" customWidth="1" style="197" min="6" max="6"/>
    <col width="25" bestFit="1" customWidth="1" style="197" min="7" max="7"/>
    <col width="23.42578125" bestFit="1" customWidth="1" style="197" min="8" max="8"/>
    <col width="24" bestFit="1" customWidth="1" style="197" min="9" max="9"/>
    <col width="24.5703125" bestFit="1" customWidth="1" style="197" min="10" max="10"/>
    <col width="27.5703125" bestFit="1" customWidth="1" style="197" min="11" max="11"/>
    <col width="25.42578125" bestFit="1" customWidth="1" style="197" min="12" max="12"/>
    <col width="22.1406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97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97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abSelected="1" zoomScaleNormal="100" workbookViewId="0">
      <selection activeCell="H19" sqref="H19"/>
    </sheetView>
  </sheetViews>
  <sheetFormatPr baseColWidth="8" defaultRowHeight="12.75"/>
  <cols>
    <col width="18.28515625" bestFit="1" customWidth="1" style="197" min="2" max="2"/>
    <col width="18.5703125" customWidth="1" style="197" min="3" max="3"/>
    <col width="19.42578125" customWidth="1" style="197" min="4" max="4"/>
    <col width="19" bestFit="1" customWidth="1" style="197" min="5" max="5"/>
    <col width="20.28515625" customWidth="1" style="197" min="6" max="6"/>
    <col width="21.28515625" bestFit="1" customWidth="1" style="197" min="7" max="7"/>
    <col width="19" bestFit="1" customWidth="1" style="197" min="8" max="8"/>
    <col width="20.42578125" bestFit="1" customWidth="1" style="197" min="9" max="9"/>
    <col width="19.5703125" bestFit="1" customWidth="1" style="197" min="10" max="10"/>
  </cols>
  <sheetData>
    <row r="1" ht="23.25" customHeight="1" s="197">
      <c r="B1" s="195" t="inlineStr">
        <is>
          <t>2026 iCON Golf League Schedule</t>
        </is>
      </c>
      <c r="C1" s="194" t="n"/>
      <c r="D1" s="194" t="n"/>
      <c r="E1" s="194" t="n"/>
      <c r="F1" s="194" t="n"/>
      <c r="G1" s="194" t="n"/>
      <c r="H1" s="194" t="n"/>
      <c r="I1" s="194" t="n"/>
      <c r="J1" s="194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96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97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97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inlineStr">
        <is>
          <t>Yes - Cash</t>
        </is>
      </c>
    </row>
    <row r="18" ht="13.5" customHeight="1" s="197">
      <c r="B18" s="5">
        <f>B17+1</f>
        <v/>
      </c>
      <c r="C18" s="53" t="inlineStr">
        <is>
          <t>Carson Bass</t>
        </is>
      </c>
      <c r="D18" s="105" t="n">
        <v>24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25</v>
      </c>
      <c r="E19" s="106" t="inlineStr">
        <is>
          <t>Mens</t>
        </is>
      </c>
      <c r="F19" s="3" t="n"/>
    </row>
    <row r="20" ht="13.5" customHeight="1" s="197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97">
      <c r="B21" s="5">
        <f>B20+1</f>
        <v/>
      </c>
      <c r="C21" s="53" t="inlineStr">
        <is>
          <t>Alex Palmer</t>
        </is>
      </c>
      <c r="D21" s="105" t="n">
        <v>30</v>
      </c>
      <c r="E21" s="106" t="inlineStr">
        <is>
          <t>Mens</t>
        </is>
      </c>
      <c r="F21" s="3" t="inlineStr">
        <is>
          <t>Yes - Venmo</t>
        </is>
      </c>
    </row>
    <row r="22" ht="13.5" customHeight="1" s="197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Preston Stoner</t>
        </is>
      </c>
      <c r="D23" s="73" t="n">
        <v>28</v>
      </c>
      <c r="E23" s="106" t="inlineStr">
        <is>
          <t>Mens</t>
        </is>
      </c>
      <c r="F23" s="3" t="inlineStr">
        <is>
          <t>Yes - Cash</t>
        </is>
      </c>
    </row>
    <row r="24" ht="13.5" customHeight="1" s="197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97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97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97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2.75"/>
  <cols>
    <col width="12" customWidth="1" style="197" min="2" max="2"/>
    <col width="17" bestFit="1" customWidth="1" style="197" min="3" max="3"/>
    <col width="11.85546875" customWidth="1" style="197" min="4" max="4"/>
    <col width="9.140625" customWidth="1" style="197" min="6" max="8"/>
    <col width="11" bestFit="1" customWidth="1" style="197" min="9" max="9"/>
    <col width="9.140625" customWidth="1" style="197" min="10" max="10"/>
    <col width="14" bestFit="1" customWidth="1" style="197" min="11" max="11"/>
    <col width="15.5703125" bestFit="1" customWidth="1" style="197" min="12" max="12"/>
    <col width="13.5703125" bestFit="1" customWidth="1" style="197" min="13" max="13"/>
    <col width="13.5703125" customWidth="1" style="197" min="14" max="15"/>
    <col width="12.5703125" customWidth="1" style="197" min="16" max="35"/>
  </cols>
  <sheetData>
    <row r="1">
      <c r="P1" s="209" t="inlineStr">
        <is>
          <t>Reston National</t>
        </is>
      </c>
    </row>
    <row r="2" ht="13.5" customHeight="1" s="197" thickBot="1">
      <c r="P2" s="209" t="inlineStr">
        <is>
          <t>Round 1</t>
        </is>
      </c>
      <c r="Q2" s="209" t="inlineStr">
        <is>
          <t>Round 2</t>
        </is>
      </c>
      <c r="R2" s="209" t="inlineStr">
        <is>
          <t>Round 3</t>
        </is>
      </c>
      <c r="S2" s="209" t="inlineStr">
        <is>
          <t>Round 4</t>
        </is>
      </c>
      <c r="T2" s="209" t="inlineStr">
        <is>
          <t>Round 5</t>
        </is>
      </c>
      <c r="U2" s="209" t="inlineStr">
        <is>
          <t>Round 6</t>
        </is>
      </c>
      <c r="V2" s="209" t="inlineStr">
        <is>
          <t>Round 7</t>
        </is>
      </c>
      <c r="W2" s="209" t="inlineStr">
        <is>
          <t>Round 8</t>
        </is>
      </c>
      <c r="X2" s="209" t="inlineStr">
        <is>
          <t>Round 9</t>
        </is>
      </c>
      <c r="Y2" s="209" t="inlineStr">
        <is>
          <t>Round 10</t>
        </is>
      </c>
      <c r="Z2" s="209" t="inlineStr">
        <is>
          <t>Round 11</t>
        </is>
      </c>
      <c r="AA2" s="209" t="inlineStr">
        <is>
          <t>Round 12</t>
        </is>
      </c>
      <c r="AB2" s="209" t="inlineStr">
        <is>
          <t>Round 13</t>
        </is>
      </c>
      <c r="AC2" s="209" t="inlineStr">
        <is>
          <t>Round 14</t>
        </is>
      </c>
      <c r="AD2" s="209" t="inlineStr">
        <is>
          <t>Round 15</t>
        </is>
      </c>
      <c r="AE2" s="209" t="inlineStr">
        <is>
          <t>Round 16</t>
        </is>
      </c>
      <c r="AF2" s="209" t="inlineStr">
        <is>
          <t>Round 17</t>
        </is>
      </c>
      <c r="AG2" s="209" t="inlineStr">
        <is>
          <t>Round 18</t>
        </is>
      </c>
      <c r="AH2" s="209" t="inlineStr">
        <is>
          <t>Round 19</t>
        </is>
      </c>
      <c r="AI2" s="209" t="inlineStr">
        <is>
          <t>Round 20</t>
        </is>
      </c>
    </row>
    <row r="3" ht="13.5" customHeight="1" s="197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210" t="inlineStr">
        <is>
          <t>Tees</t>
        </is>
      </c>
      <c r="H3" s="211" t="n"/>
      <c r="I3" s="210" t="inlineStr">
        <is>
          <t>USGA Initial</t>
        </is>
      </c>
      <c r="J3" s="210" t="inlineStr">
        <is>
          <t>Initial</t>
        </is>
      </c>
      <c r="K3" s="210" t="inlineStr">
        <is>
          <t>Initial Handicap</t>
        </is>
      </c>
      <c r="L3" s="210" t="inlineStr">
        <is>
          <t>Course Handicap</t>
        </is>
      </c>
      <c r="M3" s="210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205" t="inlineStr">
        <is>
          <t>Ethan</t>
        </is>
      </c>
      <c r="G4" s="198">
        <f>VLOOKUP($F4,Schedule!$C$15:$E$29,3)</f>
        <v/>
      </c>
      <c r="H4" s="198">
        <f>VLOOKUP($F4,Schedule!$C$15:$E$29,4)</f>
        <v/>
      </c>
      <c r="I4" s="208" t="n">
        <v>13</v>
      </c>
      <c r="J4" s="198">
        <f>I4+36</f>
        <v/>
      </c>
      <c r="K4" s="201" t="n">
        <v>13</v>
      </c>
      <c r="L4" s="201">
        <f t="array" ref="L4">_xlfn.IFS($G4="Mens",ROUNDUP($K4*(VLOOKUP($H4,$B$4:$D$7,3)/113),0),$G4="Womens",ROUNDUP($K4*(VLOOKUP($H4,$B$10:$D$12,3)/113),0))</f>
        <v/>
      </c>
      <c r="M4" s="201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201">
        <f t="array" ref="N4">ROUNDUP(_xlfn.IFS($G4="Mens",ROUNDUP(M4*(VLOOKUP($H4,$B$4:$D$7,3)/113),1),$G4="Womens",ROUNDUP(M4*(VLOOKUP($H4,$B$10:$D$12,3)/113),1)),0)</f>
        <v/>
      </c>
      <c r="O4" s="202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206" t="n"/>
      <c r="G5" s="199" t="n"/>
      <c r="H5" s="199" t="n"/>
      <c r="I5" s="199" t="n"/>
      <c r="J5" s="199" t="n"/>
      <c r="K5" s="199" t="n"/>
      <c r="L5" s="199" t="n"/>
      <c r="M5" s="199" t="n"/>
      <c r="N5" s="199" t="n"/>
      <c r="O5" s="203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97" thickBot="1">
      <c r="B6" s="42" t="inlineStr">
        <is>
          <t>Blue/White</t>
        </is>
      </c>
      <c r="C6" s="43" t="n">
        <v>65.5</v>
      </c>
      <c r="D6" s="43" t="n">
        <v>120</v>
      </c>
      <c r="F6" s="207" t="n"/>
      <c r="G6" s="200" t="n"/>
      <c r="H6" s="200" t="n"/>
      <c r="I6" s="200" t="n"/>
      <c r="J6" s="200" t="n"/>
      <c r="K6" s="200" t="n"/>
      <c r="L6" s="200" t="n"/>
      <c r="M6" s="200" t="n"/>
      <c r="N6" s="200" t="n"/>
      <c r="O6" s="204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28" t="n"/>
      <c r="C8" s="228" t="n"/>
      <c r="D8" s="228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97" thickBot="1"/>
    <row r="15" ht="25.5" customHeight="1" s="197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97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97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97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97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97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97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97" thickBot="1">
      <c r="B34" s="205" t="n">
        <v>19</v>
      </c>
      <c r="C34" s="92" t="inlineStr">
        <is>
          <t>Average of lowest 7</t>
        </is>
      </c>
      <c r="D34" s="202" t="n">
        <v>0</v>
      </c>
    </row>
    <row r="35" ht="13.5" customHeight="1" s="197" thickBot="1">
      <c r="B35" s="89" t="n">
        <v>20</v>
      </c>
      <c r="C35" s="200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zoomScale="115" zoomScaleNormal="115" workbookViewId="0">
      <selection activeCell="B19" sqref="B19:B20"/>
    </sheetView>
  </sheetViews>
  <sheetFormatPr baseColWidth="8" defaultColWidth="9.140625" defaultRowHeight="12.75"/>
  <cols>
    <col width="3.140625" customWidth="1" style="228" min="1" max="1"/>
    <col width="18" bestFit="1" customWidth="1" style="228" min="2" max="2"/>
    <col width="12.140625" bestFit="1" customWidth="1" style="228" min="3" max="3"/>
    <col width="9.140625" customWidth="1" style="228" min="4" max="12"/>
    <col width="11.5703125" customWidth="1" style="228" min="13" max="15"/>
    <col width="9.140625" customWidth="1" style="228" min="16" max="17"/>
    <col width="14.85546875" customWidth="1" style="228" min="18" max="19"/>
    <col width="9.140625" customWidth="1" style="228" min="20" max="36"/>
    <col width="9.140625" customWidth="1" style="228" min="37" max="16384"/>
  </cols>
  <sheetData>
    <row r="1" ht="13.5" customHeight="1" s="197" thickBot="1">
      <c r="N1" s="229" t="inlineStr">
        <is>
          <t>Tiebreakers</t>
        </is>
      </c>
      <c r="O1" s="191" t="n"/>
      <c r="P1" s="21" t="n"/>
    </row>
    <row r="2" ht="41.45" customHeight="1" s="197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5" customHeight="1" s="197" thickBot="1">
      <c r="A3" s="228" t="n">
        <v>1</v>
      </c>
      <c r="B3" s="216">
        <f>Schedule!C15</f>
        <v/>
      </c>
      <c r="C3" s="157" t="inlineStr">
        <is>
          <t>Match Points</t>
        </is>
      </c>
      <c r="D3" s="158" t="n">
        <v>2</v>
      </c>
      <c r="E3" s="220" t="n">
        <v>4</v>
      </c>
      <c r="F3" s="220" t="n">
        <v>8</v>
      </c>
      <c r="G3" s="220" t="n">
        <v>3.5</v>
      </c>
      <c r="H3" s="220" t="n"/>
      <c r="I3" s="220" t="n"/>
      <c r="J3" s="220" t="n"/>
      <c r="K3" s="220" t="n"/>
      <c r="L3" s="160" t="n"/>
      <c r="M3" s="222" t="n">
        <v>17.5</v>
      </c>
      <c r="N3" s="220" t="inlineStr">
        <is>
          <t>1-2-1</t>
        </is>
      </c>
      <c r="O3" s="230" t="n">
        <v>39</v>
      </c>
      <c r="Q3" s="231" t="inlineStr">
        <is>
          <t>Playoffs</t>
        </is>
      </c>
      <c r="R3" s="232" t="n"/>
      <c r="S3" s="179" t="n"/>
    </row>
    <row r="4" ht="13.5" customHeight="1" s="197" thickBot="1">
      <c r="B4" s="217" t="n"/>
      <c r="C4" s="161" t="inlineStr">
        <is>
          <t>NET Score</t>
        </is>
      </c>
      <c r="D4" s="162" t="n">
        <v>43</v>
      </c>
      <c r="E4" s="163" t="n">
        <v>40</v>
      </c>
      <c r="F4" s="163" t="n">
        <v>34</v>
      </c>
      <c r="G4" s="163" t="n">
        <v>39</v>
      </c>
      <c r="H4" s="163" t="n"/>
      <c r="I4" s="163" t="n"/>
      <c r="J4" s="163" t="n"/>
      <c r="K4" s="163" t="n"/>
      <c r="L4" s="164" t="n"/>
      <c r="M4" s="223" t="n"/>
      <c r="N4" s="219" t="n"/>
      <c r="O4" s="213" t="n"/>
      <c r="Q4" s="224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5" customHeight="1" s="197">
      <c r="A5" s="228" t="n">
        <v>2</v>
      </c>
      <c r="B5" s="221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>
        <v>7</v>
      </c>
      <c r="G5" s="166" t="n">
        <v>7</v>
      </c>
      <c r="H5" s="166" t="n"/>
      <c r="I5" s="166" t="n"/>
      <c r="J5" s="166" t="n"/>
      <c r="K5" s="166" t="n"/>
      <c r="L5" s="167" t="n"/>
      <c r="M5" s="226" t="n">
        <v>27</v>
      </c>
      <c r="N5" s="218" t="inlineStr">
        <is>
          <t>4-0-0</t>
        </is>
      </c>
      <c r="O5" s="212" t="n">
        <v>38</v>
      </c>
      <c r="Q5" s="33" t="n">
        <v>1</v>
      </c>
      <c r="R5" s="34" t="n"/>
      <c r="S5" s="35" t="n"/>
    </row>
    <row r="6" ht="13.5" customHeight="1" s="197" thickBot="1">
      <c r="B6" s="215" t="n"/>
      <c r="C6" s="168" t="inlineStr">
        <is>
          <t>NET Score</t>
        </is>
      </c>
      <c r="D6" s="169" t="n">
        <v>39</v>
      </c>
      <c r="E6" s="170" t="n">
        <v>36</v>
      </c>
      <c r="F6" s="170" t="n">
        <v>35</v>
      </c>
      <c r="G6" s="170" t="n">
        <v>42</v>
      </c>
      <c r="H6" s="170" t="n"/>
      <c r="I6" s="170" t="n"/>
      <c r="J6" s="170" t="n"/>
      <c r="K6" s="170" t="n"/>
      <c r="L6" s="171" t="n"/>
      <c r="M6" s="223" t="n"/>
      <c r="N6" s="219" t="n"/>
      <c r="O6" s="213" t="n"/>
      <c r="Q6" s="36" t="n">
        <v>2</v>
      </c>
      <c r="R6" s="37" t="n"/>
      <c r="S6" s="38" t="n"/>
    </row>
    <row r="7" ht="12.95" customHeight="1" s="197">
      <c r="A7" s="228" t="n">
        <v>3</v>
      </c>
      <c r="B7" s="214">
        <f>Schedule!C17</f>
        <v/>
      </c>
      <c r="C7" s="157" t="inlineStr">
        <is>
          <t>Match Points</t>
        </is>
      </c>
      <c r="D7" s="158" t="n">
        <v>1</v>
      </c>
      <c r="E7" s="220" t="n">
        <v>4</v>
      </c>
      <c r="F7" s="220" t="n"/>
      <c r="G7" s="220" t="n"/>
      <c r="H7" s="220" t="n"/>
      <c r="I7" s="220" t="n"/>
      <c r="J7" s="220" t="n"/>
      <c r="K7" s="220" t="n"/>
      <c r="L7" s="160" t="n"/>
      <c r="M7" s="222" t="n">
        <v>5</v>
      </c>
      <c r="N7" s="220" t="inlineStr">
        <is>
          <t>0-1-1</t>
        </is>
      </c>
      <c r="O7" s="230" t="n">
        <v>41</v>
      </c>
      <c r="Q7" s="33" t="n">
        <v>3</v>
      </c>
      <c r="R7" s="34" t="n"/>
      <c r="S7" s="35" t="n"/>
    </row>
    <row r="8" ht="13.5" customHeight="1" s="197" thickBot="1">
      <c r="B8" s="215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/>
      <c r="J8" s="163" t="n"/>
      <c r="K8" s="163" t="n"/>
      <c r="L8" s="164" t="n"/>
      <c r="M8" s="223" t="n"/>
      <c r="N8" s="219" t="n"/>
      <c r="O8" s="213" t="n"/>
      <c r="Q8" s="39" t="n">
        <v>4</v>
      </c>
      <c r="R8" s="40" t="n"/>
      <c r="S8" s="41" t="n"/>
    </row>
    <row r="9" ht="12.95" customHeight="1" s="197" thickBot="1">
      <c r="A9" s="228" t="n">
        <v>4</v>
      </c>
      <c r="B9" s="221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>
        <v>0</v>
      </c>
      <c r="G9" s="166" t="n">
        <v>5</v>
      </c>
      <c r="H9" s="166" t="n"/>
      <c r="I9" s="166" t="n"/>
      <c r="J9" s="166" t="n"/>
      <c r="K9" s="166" t="n"/>
      <c r="L9" s="167" t="n"/>
      <c r="M9" s="226" t="n">
        <v>13</v>
      </c>
      <c r="N9" s="218" t="inlineStr">
        <is>
          <t>2-2-0</t>
        </is>
      </c>
      <c r="O9" s="212" t="n">
        <v>41.5</v>
      </c>
    </row>
    <row r="10" ht="13.5" customHeight="1" s="197" thickBot="1">
      <c r="B10" s="215" t="n"/>
      <c r="C10" s="168" t="inlineStr">
        <is>
          <t>NET Score</t>
        </is>
      </c>
      <c r="D10" s="169" t="n">
        <v>38</v>
      </c>
      <c r="E10" s="170" t="n">
        <v>47</v>
      </c>
      <c r="F10" s="170" t="n">
        <v>47</v>
      </c>
      <c r="G10" s="170" t="n">
        <v>34</v>
      </c>
      <c r="H10" s="170" t="n"/>
      <c r="I10" s="170" t="n"/>
      <c r="J10" s="170" t="n"/>
      <c r="K10" s="170" t="n"/>
      <c r="L10" s="171" t="n"/>
      <c r="M10" s="223" t="n"/>
      <c r="N10" s="219" t="n"/>
      <c r="O10" s="213" t="n"/>
      <c r="R10" s="224" t="inlineStr">
        <is>
          <t>Playoff Matchups</t>
        </is>
      </c>
      <c r="S10" s="225" t="n"/>
    </row>
    <row r="11" ht="12.95" customHeight="1" s="197">
      <c r="A11" s="228" t="n">
        <v>5</v>
      </c>
      <c r="B11" s="214">
        <f>Schedule!C19</f>
        <v/>
      </c>
      <c r="C11" s="157" t="inlineStr">
        <is>
          <t>Match Points</t>
        </is>
      </c>
      <c r="D11" s="158" t="n">
        <v>0</v>
      </c>
      <c r="E11" s="220" t="n">
        <v>6</v>
      </c>
      <c r="F11" s="220" t="n">
        <v>1</v>
      </c>
      <c r="G11" s="220" t="n">
        <v>4.5</v>
      </c>
      <c r="H11" s="220" t="n"/>
      <c r="I11" s="220" t="n"/>
      <c r="J11" s="220" t="n"/>
      <c r="K11" s="220" t="n"/>
      <c r="L11" s="160" t="n"/>
      <c r="M11" s="222" t="n">
        <v>11.5</v>
      </c>
      <c r="N11" s="220" t="inlineStr">
        <is>
          <t>2-2-0</t>
        </is>
      </c>
      <c r="O11" s="230" t="n">
        <v>43</v>
      </c>
      <c r="R11" s="36" t="inlineStr">
        <is>
          <t>Front 9</t>
        </is>
      </c>
      <c r="S11" s="38" t="inlineStr">
        <is>
          <t>Back 9</t>
        </is>
      </c>
    </row>
    <row r="12" ht="13.5" customHeight="1" s="197" thickBot="1">
      <c r="B12" s="215" t="n"/>
      <c r="C12" s="161" t="inlineStr">
        <is>
          <t>NET Score</t>
        </is>
      </c>
      <c r="D12" s="162" t="n">
        <v>46</v>
      </c>
      <c r="E12" s="163" t="n">
        <v>43</v>
      </c>
      <c r="F12" s="163" t="n">
        <v>43</v>
      </c>
      <c r="G12" s="163" t="n">
        <v>40</v>
      </c>
      <c r="H12" s="163" t="n"/>
      <c r="I12" s="163" t="n"/>
      <c r="J12" s="163" t="n"/>
      <c r="K12" s="163" t="n"/>
      <c r="L12" s="164" t="n"/>
      <c r="M12" s="223" t="n"/>
      <c r="N12" s="219" t="n"/>
      <c r="O12" s="213" t="n"/>
      <c r="R12" s="36" t="inlineStr">
        <is>
          <t>1 vs 4</t>
        </is>
      </c>
      <c r="S12" s="38" t="inlineStr">
        <is>
          <t>Winner of each</t>
        </is>
      </c>
    </row>
    <row r="13" ht="12.95" customHeight="1" s="197" thickBot="1">
      <c r="A13" s="228" t="n">
        <v>6</v>
      </c>
      <c r="B13" s="221">
        <f>Schedule!C20</f>
        <v/>
      </c>
      <c r="C13" s="24" t="inlineStr">
        <is>
          <t>Match Points</t>
        </is>
      </c>
      <c r="D13" s="165" t="n">
        <v>8</v>
      </c>
      <c r="E13" s="166" t="n">
        <v>2</v>
      </c>
      <c r="F13" s="166" t="n"/>
      <c r="G13" s="166" t="n"/>
      <c r="H13" s="166" t="n"/>
      <c r="I13" s="166" t="n"/>
      <c r="J13" s="166" t="n"/>
      <c r="K13" s="166" t="n"/>
      <c r="L13" s="167" t="n"/>
      <c r="M13" s="226" t="n">
        <v>10</v>
      </c>
      <c r="N13" s="218" t="inlineStr">
        <is>
          <t>1-1-0</t>
        </is>
      </c>
      <c r="O13" s="212" t="n">
        <v>36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97" thickBot="1">
      <c r="B14" s="215" t="n"/>
      <c r="C14" s="168" t="inlineStr">
        <is>
          <t>NET Score</t>
        </is>
      </c>
      <c r="D14" s="169" t="n">
        <v>33</v>
      </c>
      <c r="E14" s="170" t="n">
        <v>39</v>
      </c>
      <c r="F14" s="170" t="n"/>
      <c r="G14" s="170" t="n"/>
      <c r="H14" s="170" t="n"/>
      <c r="I14" s="170" t="n"/>
      <c r="J14" s="170" t="n"/>
      <c r="K14" s="170" t="n"/>
      <c r="L14" s="171" t="n"/>
      <c r="M14" s="223" t="n"/>
      <c r="N14" s="219" t="n"/>
      <c r="O14" s="213" t="n"/>
    </row>
    <row r="15" ht="12.95" customHeight="1" s="197">
      <c r="A15" s="228" t="n">
        <v>7</v>
      </c>
      <c r="B15" s="214">
        <f>Schedule!C21</f>
        <v/>
      </c>
      <c r="C15" s="157" t="inlineStr">
        <is>
          <t>Match Points</t>
        </is>
      </c>
      <c r="D15" s="158" t="n">
        <v>1</v>
      </c>
      <c r="E15" s="220" t="n">
        <v>2</v>
      </c>
      <c r="F15" s="220" t="n">
        <v>7</v>
      </c>
      <c r="G15" s="220" t="n">
        <v>1</v>
      </c>
      <c r="H15" s="220" t="n"/>
      <c r="I15" s="220" t="n"/>
      <c r="J15" s="220" t="n"/>
      <c r="K15" s="220" t="n"/>
      <c r="L15" s="160" t="n"/>
      <c r="M15" s="222" t="n">
        <v>11</v>
      </c>
      <c r="N15" s="220" t="inlineStr">
        <is>
          <t>1-3-0</t>
        </is>
      </c>
      <c r="O15" s="230" t="n">
        <v>46.2</v>
      </c>
    </row>
    <row r="16" ht="13.5" customHeight="1" s="197" thickBot="1">
      <c r="B16" s="215" t="n"/>
      <c r="C16" s="161" t="inlineStr">
        <is>
          <t>NET Score</t>
        </is>
      </c>
      <c r="D16" s="162" t="n">
        <v>48</v>
      </c>
      <c r="E16" s="163" t="n">
        <v>49</v>
      </c>
      <c r="F16" s="163" t="n">
        <v>39</v>
      </c>
      <c r="G16" s="163" t="n">
        <v>49</v>
      </c>
      <c r="H16" s="163" t="n"/>
      <c r="I16" s="163" t="n"/>
      <c r="J16" s="163" t="n"/>
      <c r="K16" s="163" t="n"/>
      <c r="L16" s="164" t="n"/>
      <c r="M16" s="223" t="n"/>
      <c r="N16" s="219" t="n"/>
      <c r="O16" s="213" t="n"/>
    </row>
    <row r="17" ht="12.95" customHeight="1" s="197">
      <c r="A17" s="228" t="n">
        <v>8</v>
      </c>
      <c r="B17" s="221">
        <f>Schedule!C22</f>
        <v/>
      </c>
      <c r="C17" s="24" t="inlineStr">
        <is>
          <t>Match Points</t>
        </is>
      </c>
      <c r="D17" s="165" t="n">
        <v>7</v>
      </c>
      <c r="E17" s="166" t="n">
        <v>6</v>
      </c>
      <c r="F17" s="166" t="n">
        <v>8</v>
      </c>
      <c r="G17" s="166" t="n"/>
      <c r="H17" s="166" t="n">
        <v>8</v>
      </c>
      <c r="I17" s="166" t="n"/>
      <c r="J17" s="166" t="n"/>
      <c r="K17" s="166" t="n"/>
      <c r="L17" s="167" t="n"/>
      <c r="M17" s="226" t="n">
        <v>29</v>
      </c>
      <c r="N17" s="218" t="inlineStr">
        <is>
          <t>4-0-0</t>
        </is>
      </c>
      <c r="O17" s="212" t="n">
        <v>36.8</v>
      </c>
      <c r="Q17" s="227" t="inlineStr">
        <is>
          <t>Tiebreaker Rules</t>
        </is>
      </c>
    </row>
    <row r="18" ht="13.5" customHeight="1" s="197" thickBot="1">
      <c r="B18" s="215" t="n"/>
      <c r="C18" s="168" t="inlineStr">
        <is>
          <t>NET Score</t>
        </is>
      </c>
      <c r="D18" s="169" t="n">
        <v>37</v>
      </c>
      <c r="E18" s="170" t="n">
        <v>38</v>
      </c>
      <c r="F18" s="170" t="n">
        <v>37</v>
      </c>
      <c r="G18" s="170" t="n"/>
      <c r="H18" s="170" t="n">
        <v>35</v>
      </c>
      <c r="I18" s="170" t="n"/>
      <c r="J18" s="170" t="n"/>
      <c r="K18" s="170" t="n"/>
      <c r="L18" s="171" t="n"/>
      <c r="M18" s="223" t="n"/>
      <c r="N18" s="219" t="n"/>
      <c r="O18" s="213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5" customHeight="1" s="197">
      <c r="A19" s="228" t="n">
        <v>9</v>
      </c>
      <c r="B19" s="214">
        <f>Schedule!C23</f>
        <v/>
      </c>
      <c r="C19" s="157" t="inlineStr">
        <is>
          <t>Match Points</t>
        </is>
      </c>
      <c r="D19" s="158" t="n">
        <v>2</v>
      </c>
      <c r="E19" s="220" t="n">
        <v>8</v>
      </c>
      <c r="F19" s="220" t="n">
        <v>4.5</v>
      </c>
      <c r="G19" s="220" t="n">
        <v>8</v>
      </c>
      <c r="H19" s="220" t="n">
        <v>0</v>
      </c>
      <c r="I19" s="220" t="n"/>
      <c r="J19" s="220" t="n"/>
      <c r="K19" s="220" t="n"/>
      <c r="L19" s="160" t="n"/>
      <c r="M19" s="222" t="n">
        <v>22.5</v>
      </c>
      <c r="N19" s="220" t="inlineStr">
        <is>
          <t>3-2-0</t>
        </is>
      </c>
      <c r="O19" s="230" t="n">
        <v>39.8</v>
      </c>
      <c r="Q19" s="154" t="inlineStr">
        <is>
          <t>2. Lowest average NET score for all 8 matches.</t>
        </is>
      </c>
    </row>
    <row r="20" ht="13.5" customHeight="1" s="197" thickBot="1">
      <c r="B20" s="215" t="n"/>
      <c r="C20" s="161" t="inlineStr">
        <is>
          <t>NET Score</t>
        </is>
      </c>
      <c r="D20" s="162" t="n">
        <v>39</v>
      </c>
      <c r="E20" s="163" t="n">
        <v>36</v>
      </c>
      <c r="F20" s="163" t="n">
        <v>42</v>
      </c>
      <c r="G20" s="163" t="n">
        <v>38</v>
      </c>
      <c r="H20" s="163" t="n">
        <v>44</v>
      </c>
      <c r="I20" s="163" t="n"/>
      <c r="J20" s="163" t="n"/>
      <c r="K20" s="163" t="n"/>
      <c r="L20" s="164" t="n"/>
      <c r="M20" s="223" t="n"/>
      <c r="N20" s="219" t="n"/>
      <c r="O20" s="213" t="n"/>
      <c r="Q20" s="154" t="inlineStr">
        <is>
          <t>3. Lowest Round 8 NET score.</t>
        </is>
      </c>
      <c r="R20" s="21" t="n"/>
    </row>
    <row r="21" ht="12.95" customHeight="1" s="197">
      <c r="A21" s="228" t="n">
        <v>10</v>
      </c>
      <c r="B21" s="221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>
        <v>8</v>
      </c>
      <c r="H21" s="166" t="n"/>
      <c r="I21" s="166" t="n"/>
      <c r="J21" s="166" t="n"/>
      <c r="K21" s="166" t="n"/>
      <c r="L21" s="167" t="n"/>
      <c r="M21" s="226" t="n">
        <v>22</v>
      </c>
      <c r="N21" s="218" t="inlineStr">
        <is>
          <t>3-0-0</t>
        </is>
      </c>
      <c r="O21" s="212" t="n">
        <v>39.3</v>
      </c>
      <c r="Q21" s="154" t="inlineStr">
        <is>
          <t>4. Coin Flip or however the two parties wish to settle it.</t>
        </is>
      </c>
      <c r="R21" s="21" t="n"/>
    </row>
    <row r="22" ht="13.5" customHeight="1" s="197" thickBot="1">
      <c r="B22" s="215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>
        <v>41</v>
      </c>
      <c r="H22" s="170" t="n"/>
      <c r="I22" s="170" t="n"/>
      <c r="J22" s="170" t="n"/>
      <c r="K22" s="170" t="n"/>
      <c r="L22" s="171" t="n"/>
      <c r="M22" s="223" t="n"/>
      <c r="N22" s="219" t="n"/>
      <c r="O22" s="213" t="n"/>
    </row>
    <row r="23" ht="12.95" customHeight="1" s="197">
      <c r="A23" s="228" t="n">
        <v>11</v>
      </c>
      <c r="B23" s="214">
        <f>Schedule!C25</f>
        <v/>
      </c>
      <c r="C23" s="157" t="inlineStr">
        <is>
          <t>Match Points</t>
        </is>
      </c>
      <c r="D23" s="158" t="n"/>
      <c r="E23" s="220" t="n">
        <v>8</v>
      </c>
      <c r="F23" s="220" t="n">
        <v>7</v>
      </c>
      <c r="G23" s="220" t="n">
        <v>4</v>
      </c>
      <c r="H23" s="220" t="n"/>
      <c r="I23" s="220" t="n"/>
      <c r="J23" s="220" t="n"/>
      <c r="K23" s="220" t="n"/>
      <c r="L23" s="160" t="n"/>
      <c r="M23" s="222" t="n">
        <v>19</v>
      </c>
      <c r="N23" s="220" t="inlineStr">
        <is>
          <t>2-0-1</t>
        </is>
      </c>
      <c r="O23" s="230" t="n">
        <v>46</v>
      </c>
    </row>
    <row r="24" ht="13.5" customHeight="1" s="197" thickBot="1">
      <c r="B24" s="215" t="n"/>
      <c r="C24" s="161" t="inlineStr">
        <is>
          <t>NET Score</t>
        </is>
      </c>
      <c r="D24" s="162" t="n"/>
      <c r="E24" s="163" t="n">
        <v>43</v>
      </c>
      <c r="F24" s="163" t="n">
        <v>52</v>
      </c>
      <c r="G24" s="163" t="n">
        <v>43</v>
      </c>
      <c r="H24" s="163" t="n"/>
      <c r="I24" s="163" t="n"/>
      <c r="J24" s="163" t="n"/>
      <c r="K24" s="163" t="n"/>
      <c r="L24" s="164" t="n"/>
      <c r="M24" s="223" t="n"/>
      <c r="N24" s="219" t="n"/>
      <c r="O24" s="213" t="n"/>
    </row>
    <row r="25" ht="12.95" customHeight="1" s="197">
      <c r="A25" s="228" t="n">
        <v>12</v>
      </c>
      <c r="B25" s="221">
        <f>Schedule!C26</f>
        <v/>
      </c>
      <c r="C25" s="24" t="inlineStr">
        <is>
          <t>Match Points</t>
        </is>
      </c>
      <c r="D25" s="165" t="n">
        <v>4</v>
      </c>
      <c r="E25" s="166" t="n">
        <v>0</v>
      </c>
      <c r="F25" s="166" t="n">
        <v>1</v>
      </c>
      <c r="G25" s="166" t="n"/>
      <c r="H25" s="166" t="n">
        <v>6</v>
      </c>
      <c r="I25" s="166" t="n"/>
      <c r="J25" s="166" t="n"/>
      <c r="K25" s="166" t="n"/>
      <c r="L25" s="167" t="n"/>
      <c r="M25" s="226" t="n">
        <v>11</v>
      </c>
      <c r="N25" s="218" t="inlineStr">
        <is>
          <t>1-2-1</t>
        </is>
      </c>
      <c r="O25" s="212" t="n">
        <v>53.5</v>
      </c>
    </row>
    <row r="26" ht="13.5" customHeight="1" s="197" thickBot="1">
      <c r="B26" s="215" t="n"/>
      <c r="C26" s="168" t="inlineStr">
        <is>
          <t>NET Score</t>
        </is>
      </c>
      <c r="D26" s="169" t="n">
        <v>54</v>
      </c>
      <c r="E26" s="170" t="n">
        <v>54</v>
      </c>
      <c r="F26" s="170" t="n">
        <v>54</v>
      </c>
      <c r="G26" s="170" t="n"/>
      <c r="H26" s="170" t="n">
        <v>52</v>
      </c>
      <c r="I26" s="170" t="n"/>
      <c r="J26" s="170" t="n"/>
      <c r="K26" s="170" t="n"/>
      <c r="L26" s="171" t="n"/>
      <c r="M26" s="223" t="n"/>
      <c r="N26" s="219" t="n"/>
      <c r="O26" s="213" t="n"/>
    </row>
    <row r="27" ht="12.95" customHeight="1" s="197">
      <c r="A27" s="228" t="n">
        <v>13</v>
      </c>
      <c r="B27" s="214">
        <f>Schedule!C27</f>
        <v/>
      </c>
      <c r="C27" s="157" t="inlineStr">
        <is>
          <t>Match Points</t>
        </is>
      </c>
      <c r="D27" s="158" t="n">
        <v>4</v>
      </c>
      <c r="E27" s="220" t="n">
        <v>0</v>
      </c>
      <c r="F27" s="220" t="n">
        <v>1</v>
      </c>
      <c r="G27" s="220" t="n">
        <v>0</v>
      </c>
      <c r="H27" s="220" t="n">
        <v>7</v>
      </c>
      <c r="I27" s="220" t="n">
        <v>2</v>
      </c>
      <c r="J27" s="220" t="n"/>
      <c r="K27" s="220" t="n"/>
      <c r="L27" s="160" t="n"/>
      <c r="M27" s="222" t="n">
        <v>14</v>
      </c>
      <c r="N27" s="220" t="inlineStr">
        <is>
          <t>1-4-1</t>
        </is>
      </c>
      <c r="O27" s="230" t="n">
        <v>51.2</v>
      </c>
    </row>
    <row r="28" ht="13.5" customHeight="1" s="197" thickBot="1">
      <c r="B28" s="215" t="n"/>
      <c r="C28" s="161" t="inlineStr">
        <is>
          <t>NET Score</t>
        </is>
      </c>
      <c r="D28" s="162" t="n">
        <v>54</v>
      </c>
      <c r="E28" s="163" t="n">
        <v>51</v>
      </c>
      <c r="F28" s="163" t="n">
        <v>54</v>
      </c>
      <c r="G28" s="163" t="n">
        <v>50</v>
      </c>
      <c r="H28" s="163" t="n">
        <v>48</v>
      </c>
      <c r="I28" s="163" t="n">
        <v>50</v>
      </c>
      <c r="J28" s="163" t="n"/>
      <c r="K28" s="163" t="n"/>
      <c r="L28" s="164" t="n"/>
      <c r="M28" s="223" t="n"/>
      <c r="N28" s="219" t="n"/>
      <c r="O28" s="213" t="n"/>
    </row>
    <row r="29" ht="12.95" customHeight="1" s="197">
      <c r="A29" s="228" t="n">
        <v>14</v>
      </c>
      <c r="B29" s="221">
        <f>Schedule!C28</f>
        <v/>
      </c>
      <c r="C29" s="24" t="inlineStr">
        <is>
          <t>Match Points</t>
        </is>
      </c>
      <c r="D29" s="165" t="n">
        <v>7</v>
      </c>
      <c r="E29" s="166" t="n">
        <v>0</v>
      </c>
      <c r="F29" s="166" t="n">
        <v>3.5</v>
      </c>
      <c r="G29" s="166" t="n">
        <v>0</v>
      </c>
      <c r="H29" s="166" t="n">
        <v>1</v>
      </c>
      <c r="I29" s="166" t="n"/>
      <c r="J29" s="166" t="n"/>
      <c r="K29" s="166" t="n"/>
      <c r="L29" s="167" t="n"/>
      <c r="M29" s="226" t="n">
        <v>11.5</v>
      </c>
      <c r="N29" s="218" t="inlineStr">
        <is>
          <t>1-4-0</t>
        </is>
      </c>
      <c r="O29" s="212" t="n">
        <v>50.2</v>
      </c>
    </row>
    <row r="30" ht="13.5" customHeight="1" s="197" thickBot="1">
      <c r="B30" s="215" t="n"/>
      <c r="C30" s="168" t="inlineStr">
        <is>
          <t>NET Score</t>
        </is>
      </c>
      <c r="D30" s="169" t="n">
        <v>50</v>
      </c>
      <c r="E30" s="170" t="n">
        <v>52</v>
      </c>
      <c r="F30" s="170" t="n">
        <v>43</v>
      </c>
      <c r="G30" s="170" t="n">
        <v>54</v>
      </c>
      <c r="H30" s="170" t="n">
        <v>52</v>
      </c>
      <c r="I30" s="170" t="n"/>
      <c r="J30" s="170" t="n"/>
      <c r="K30" s="170" t="n"/>
      <c r="L30" s="171" t="n"/>
      <c r="M30" s="223" t="n"/>
      <c r="N30" s="219" t="n"/>
      <c r="O30" s="213" t="n"/>
    </row>
    <row r="31" ht="12.95" customHeight="1" s="197">
      <c r="A31" s="228" t="n">
        <v>15</v>
      </c>
      <c r="B31" s="214">
        <f>Schedule!C29</f>
        <v/>
      </c>
      <c r="C31" s="157" t="inlineStr">
        <is>
          <t>Match Points</t>
        </is>
      </c>
      <c r="D31" s="158" t="n">
        <v>1</v>
      </c>
      <c r="E31" s="220" t="n"/>
      <c r="F31" s="220" t="n">
        <v>0</v>
      </c>
      <c r="G31" s="220" t="n">
        <v>4</v>
      </c>
      <c r="H31" s="220" t="n">
        <v>2</v>
      </c>
      <c r="I31" s="220" t="n">
        <v>6</v>
      </c>
      <c r="J31" s="220" t="n"/>
      <c r="K31" s="220" t="n"/>
      <c r="L31" s="160" t="n"/>
      <c r="M31" s="222" t="n">
        <v>13</v>
      </c>
      <c r="N31" s="220" t="inlineStr">
        <is>
          <t>1-3-1</t>
        </is>
      </c>
      <c r="O31" s="230" t="n">
        <v>49.8</v>
      </c>
    </row>
    <row r="32" ht="13.5" customHeight="1" s="197" thickBot="1">
      <c r="B32" s="215" t="n"/>
      <c r="C32" s="161" t="inlineStr">
        <is>
          <t>NET Score</t>
        </is>
      </c>
      <c r="D32" s="162" t="n">
        <v>53</v>
      </c>
      <c r="E32" s="163" t="n"/>
      <c r="F32" s="163" t="n">
        <v>54</v>
      </c>
      <c r="G32" s="163" t="n">
        <v>43</v>
      </c>
      <c r="H32" s="163" t="n">
        <v>54</v>
      </c>
      <c r="I32" s="163" t="n">
        <v>45</v>
      </c>
      <c r="J32" s="163" t="n"/>
      <c r="K32" s="163" t="n"/>
      <c r="L32" s="164" t="n"/>
      <c r="M32" s="223" t="n"/>
      <c r="N32" s="219" t="n"/>
      <c r="O32" s="21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M3:M4"/>
    <mergeCell ref="O29:O30"/>
    <mergeCell ref="O25:O26"/>
    <mergeCell ref="M5:M6"/>
    <mergeCell ref="Q17:S17"/>
    <mergeCell ref="N29:N30"/>
    <mergeCell ref="O21:O22"/>
    <mergeCell ref="N1:O1"/>
    <mergeCell ref="N23:N24"/>
    <mergeCell ref="O31:O32"/>
    <mergeCell ref="B15:B16"/>
    <mergeCell ref="N19:N20"/>
    <mergeCell ref="M27:M28"/>
    <mergeCell ref="B19:B20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Q3:S3"/>
    <mergeCell ref="N11:N12"/>
    <mergeCell ref="O19:O20"/>
    <mergeCell ref="N27:N28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B31:B32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5546875" defaultRowHeight="13.5"/>
  <cols>
    <col width="2.5703125" customWidth="1" style="235" min="1" max="1"/>
    <col width="27.85546875" customWidth="1" style="235" min="2" max="2"/>
    <col width="9.85546875" customWidth="1" style="235" min="3" max="8"/>
    <col width="10.7109375" bestFit="1" customWidth="1" style="235" min="9" max="9"/>
    <col width="10.5703125" customWidth="1" style="235" min="10" max="11"/>
    <col width="10.85546875" customWidth="1" style="235" min="12" max="13"/>
    <col width="5.7109375" customWidth="1" style="235" min="14" max="14"/>
    <col width="11" bestFit="1" customWidth="1" style="235" min="15" max="15"/>
    <col width="4.5703125" customWidth="1" style="235" min="16" max="24"/>
    <col width="7.5703125" customWidth="1" style="235" min="25" max="25"/>
    <col width="9.85546875" customWidth="1" style="235" min="26" max="27"/>
    <col width="16.42578125" bestFit="1" customWidth="1" style="235" min="28" max="28"/>
    <col width="12.7109375" customWidth="1" style="235" min="29" max="30"/>
    <col width="9.85546875" customWidth="1" style="235" min="31" max="47"/>
    <col width="9.85546875" customWidth="1" style="235" min="48" max="16384"/>
  </cols>
  <sheetData>
    <row r="1" ht="14.25" customHeight="1" s="197" thickBot="1">
      <c r="B1" s="47" t="inlineStr">
        <is>
          <t>Fill in your name, tees, front/back 9, and gross scores in the grey boxes</t>
        </is>
      </c>
      <c r="J1" s="239" t="inlineStr">
        <is>
          <t>Points</t>
        </is>
      </c>
      <c r="K1" s="191" t="n"/>
      <c r="L1" s="191" t="n"/>
      <c r="M1" s="191" t="n"/>
    </row>
    <row r="2" ht="24.95" customHeight="1" s="197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37">
        <f>B8</f>
        <v/>
      </c>
      <c r="K2" s="179" t="n"/>
      <c r="L2" s="233">
        <f>B17</f>
        <v/>
      </c>
      <c r="M2" s="17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97" thickBot="1">
      <c r="B3" s="238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36">
        <f>SUM(D4:H4)</f>
        <v/>
      </c>
      <c r="K3" s="183" t="n"/>
      <c r="L3" s="240">
        <f>SUM(D6:H6)</f>
        <v/>
      </c>
      <c r="M3" s="183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97" thickBot="1">
      <c r="B4" s="186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184" t="n"/>
      <c r="K4" s="185" t="n"/>
      <c r="M4" s="185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97" thickBot="1">
      <c r="B5" s="238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186" t="n"/>
      <c r="K5" s="187" t="n"/>
      <c r="L5" s="191" t="n"/>
      <c r="M5" s="187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97" thickBot="1">
      <c r="B6" s="186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34" t="n"/>
      <c r="K6" s="234" t="n"/>
      <c r="L6" s="234" t="n"/>
      <c r="M6" s="234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97" thickBot="1">
      <c r="B8" s="109" t="inlineStr">
        <is>
          <t>Ethan High</t>
        </is>
      </c>
      <c r="C8" s="62" t="inlineStr">
        <is>
          <t>Handicap:</t>
        </is>
      </c>
      <c r="D8" s="234">
        <f>IFERROR(VLOOKUP(B8,$AB$3:$AE$21,4,0),0)</f>
        <v/>
      </c>
      <c r="E8" s="234" t="n"/>
      <c r="F8" s="234" t="inlineStr">
        <is>
          <t>Tees:</t>
        </is>
      </c>
      <c r="G8" s="63" t="inlineStr">
        <is>
          <t>Black</t>
        </is>
      </c>
      <c r="H8" s="234" t="n"/>
      <c r="I8" s="234" t="inlineStr">
        <is>
          <t>Holes:</t>
        </is>
      </c>
      <c r="J8" s="63" t="inlineStr">
        <is>
          <t>Front 9</t>
        </is>
      </c>
      <c r="K8" s="234" t="n"/>
      <c r="L8" s="234" t="n"/>
      <c r="O8" s="235" t="inlineStr">
        <is>
          <t>HC's by Tees</t>
        </is>
      </c>
      <c r="P8" s="234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97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34" t="n"/>
      <c r="O9" s="235" t="inlineStr">
        <is>
          <t>Black</t>
        </is>
      </c>
      <c r="P9" s="234" t="n">
        <v>1</v>
      </c>
      <c r="Q9" s="234" t="n">
        <v>9</v>
      </c>
      <c r="R9" s="234" t="n">
        <v>7</v>
      </c>
      <c r="S9" s="234" t="n">
        <v>13</v>
      </c>
      <c r="T9" s="234" t="n">
        <v>15</v>
      </c>
      <c r="U9" s="234" t="n">
        <v>5</v>
      </c>
      <c r="V9" s="234" t="n">
        <v>11</v>
      </c>
      <c r="W9" s="234" t="n">
        <v>3</v>
      </c>
      <c r="X9" s="234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34" t="n">
        <v>5</v>
      </c>
      <c r="E10" s="70" t="n">
        <v>3</v>
      </c>
      <c r="F10" s="69" t="n">
        <v>4</v>
      </c>
      <c r="G10" s="234" t="n">
        <v>5</v>
      </c>
      <c r="H10" s="70" t="n">
        <v>3</v>
      </c>
      <c r="I10" s="69" t="n">
        <v>4</v>
      </c>
      <c r="J10" s="234" t="n">
        <v>4</v>
      </c>
      <c r="K10" s="70" t="n">
        <v>4</v>
      </c>
      <c r="L10" s="234">
        <f>SUM(C10:K10)</f>
        <v/>
      </c>
      <c r="O10" s="235" t="inlineStr">
        <is>
          <t>Blue</t>
        </is>
      </c>
      <c r="P10" s="234" t="n">
        <v>1</v>
      </c>
      <c r="Q10" s="234" t="n">
        <v>9</v>
      </c>
      <c r="R10" s="234" t="n">
        <v>7</v>
      </c>
      <c r="S10" s="234" t="n">
        <v>13</v>
      </c>
      <c r="T10" s="234" t="n">
        <v>15</v>
      </c>
      <c r="U10" s="234" t="n">
        <v>5</v>
      </c>
      <c r="V10" s="234" t="n">
        <v>11</v>
      </c>
      <c r="W10" s="234" t="n">
        <v>3</v>
      </c>
      <c r="X10" s="234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34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34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34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34" t="n"/>
      <c r="O11" s="235" t="inlineStr">
        <is>
          <t>Blue / White</t>
        </is>
      </c>
      <c r="P11" s="234" t="n">
        <v>3</v>
      </c>
      <c r="Q11" s="234" t="n">
        <v>7</v>
      </c>
      <c r="R11" s="234" t="n">
        <v>13</v>
      </c>
      <c r="S11" s="234" t="n">
        <v>17</v>
      </c>
      <c r="T11" s="234" t="n">
        <v>15</v>
      </c>
      <c r="U11" s="234" t="n">
        <v>1</v>
      </c>
      <c r="V11" s="234" t="n">
        <v>11</v>
      </c>
      <c r="W11" s="234" t="n">
        <v>5</v>
      </c>
      <c r="X11" s="234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97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34">
        <f>SUM(C12:K12)</f>
        <v/>
      </c>
      <c r="M12" s="72">
        <f>SUM(C12:K12)-SUM(C$10:K$10)</f>
        <v/>
      </c>
      <c r="O12" s="235" t="inlineStr">
        <is>
          <t>White</t>
        </is>
      </c>
      <c r="P12" s="234" t="n">
        <v>1</v>
      </c>
      <c r="Q12" s="234" t="n">
        <v>7</v>
      </c>
      <c r="R12" s="234" t="n">
        <v>11</v>
      </c>
      <c r="S12" s="234" t="n">
        <v>13</v>
      </c>
      <c r="T12" s="234" t="n">
        <v>15</v>
      </c>
      <c r="U12" s="234" t="n">
        <v>9</v>
      </c>
      <c r="V12" s="234" t="n">
        <v>17</v>
      </c>
      <c r="W12" s="234" t="n">
        <v>3</v>
      </c>
      <c r="X12" s="234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34" t="n">
        <v>6</v>
      </c>
      <c r="E13" s="70" t="n">
        <v>4</v>
      </c>
      <c r="F13" s="69" t="n">
        <v>5</v>
      </c>
      <c r="G13" s="234" t="n">
        <v>6</v>
      </c>
      <c r="H13" s="70" t="n">
        <v>4</v>
      </c>
      <c r="I13" s="69" t="n">
        <v>5</v>
      </c>
      <c r="J13" s="234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34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34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34">
        <f>J12-INT($D$8/18)-IF(J11&lt;=MOD($D$8,18),1,0)</f>
        <v/>
      </c>
      <c r="K14" s="70">
        <f>K12-INT($D$8/18)-IF(K11&lt;=MOD($D$8,18),1,0)</f>
        <v/>
      </c>
      <c r="L14" s="234">
        <f>SUM(C14:K14)</f>
        <v/>
      </c>
      <c r="M14" s="72">
        <f>SUM(C14:K14)-SUM(C$10:K$10)</f>
        <v/>
      </c>
      <c r="O14" s="234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97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34" t="n"/>
      <c r="O15" s="235" t="inlineStr">
        <is>
          <t>Black</t>
        </is>
      </c>
      <c r="P15" s="234" t="n">
        <v>12</v>
      </c>
      <c r="Q15" s="234" t="n">
        <v>2</v>
      </c>
      <c r="R15" s="234" t="n">
        <v>8</v>
      </c>
      <c r="S15" s="234" t="n">
        <v>6</v>
      </c>
      <c r="T15" s="234" t="n">
        <v>18</v>
      </c>
      <c r="U15" s="234" t="n">
        <v>14</v>
      </c>
      <c r="V15" s="234" t="n">
        <v>16</v>
      </c>
      <c r="W15" s="234" t="n">
        <v>10</v>
      </c>
      <c r="X15" s="234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235" t="inlineStr">
        <is>
          <t>Blue</t>
        </is>
      </c>
      <c r="P16" s="234" t="n">
        <v>12</v>
      </c>
      <c r="Q16" s="234" t="n">
        <v>2</v>
      </c>
      <c r="R16" s="234" t="n">
        <v>8</v>
      </c>
      <c r="S16" s="234" t="n">
        <v>6</v>
      </c>
      <c r="T16" s="234" t="n">
        <v>18</v>
      </c>
      <c r="U16" s="234" t="n">
        <v>14</v>
      </c>
      <c r="V16" s="234" t="n">
        <v>16</v>
      </c>
      <c r="W16" s="234" t="n">
        <v>10</v>
      </c>
      <c r="X16" s="234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97" thickBot="1">
      <c r="B17" s="109" t="inlineStr">
        <is>
          <t>Bruce Dubovecky</t>
        </is>
      </c>
      <c r="C17" s="62" t="inlineStr">
        <is>
          <t>Handicap:</t>
        </is>
      </c>
      <c r="D17" s="234">
        <f>IFERROR(VLOOKUP(B17,$AB$3:$AE$21,4,0),0)</f>
        <v/>
      </c>
      <c r="E17" s="234" t="n"/>
      <c r="F17" s="234" t="inlineStr">
        <is>
          <t>Tees:</t>
        </is>
      </c>
      <c r="G17" s="63" t="inlineStr">
        <is>
          <t>Black</t>
        </is>
      </c>
      <c r="H17" s="234" t="n"/>
      <c r="I17" s="234" t="inlineStr">
        <is>
          <t>Holes:</t>
        </is>
      </c>
      <c r="J17" s="63" t="inlineStr">
        <is>
          <t>Front 9</t>
        </is>
      </c>
      <c r="K17" s="234" t="n"/>
      <c r="L17" s="234" t="n"/>
      <c r="O17" s="235" t="inlineStr">
        <is>
          <t>Blue / White</t>
        </is>
      </c>
      <c r="P17" s="234" t="n">
        <v>12</v>
      </c>
      <c r="Q17" s="234" t="n">
        <v>4</v>
      </c>
      <c r="R17" s="234" t="n">
        <v>10</v>
      </c>
      <c r="S17" s="234" t="n">
        <v>2</v>
      </c>
      <c r="T17" s="234" t="n">
        <v>16</v>
      </c>
      <c r="U17" s="234" t="n">
        <v>14</v>
      </c>
      <c r="V17" s="234" t="n">
        <v>18</v>
      </c>
      <c r="W17" s="234" t="n">
        <v>6</v>
      </c>
      <c r="X17" s="234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97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34" t="n"/>
      <c r="M18" s="72" t="n"/>
      <c r="O18" s="235" t="inlineStr">
        <is>
          <t>White</t>
        </is>
      </c>
      <c r="P18" s="234" t="n">
        <v>10</v>
      </c>
      <c r="Q18" s="234" t="n">
        <v>4</v>
      </c>
      <c r="R18" s="234" t="n">
        <v>8</v>
      </c>
      <c r="S18" s="234" t="n">
        <v>2</v>
      </c>
      <c r="T18" s="234" t="n">
        <v>16</v>
      </c>
      <c r="U18" s="234" t="n">
        <v>12</v>
      </c>
      <c r="V18" s="234" t="n">
        <v>18</v>
      </c>
      <c r="W18" s="234" t="n">
        <v>14</v>
      </c>
      <c r="X18" s="234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34" t="n">
        <v>5</v>
      </c>
      <c r="E19" s="70" t="n">
        <v>3</v>
      </c>
      <c r="F19" s="69" t="n">
        <v>4</v>
      </c>
      <c r="G19" s="234" t="n">
        <v>5</v>
      </c>
      <c r="H19" s="70" t="n">
        <v>3</v>
      </c>
      <c r="I19" s="69" t="n">
        <v>4</v>
      </c>
      <c r="J19" s="234" t="n">
        <v>4</v>
      </c>
      <c r="K19" s="70" t="n">
        <v>4</v>
      </c>
      <c r="L19" s="234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34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34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34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34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97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34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34" t="n">
        <v>6</v>
      </c>
      <c r="E22" s="70" t="n">
        <v>4</v>
      </c>
      <c r="F22" s="69" t="n">
        <v>5</v>
      </c>
      <c r="G22" s="234" t="n">
        <v>6</v>
      </c>
      <c r="H22" s="70" t="n">
        <v>4</v>
      </c>
      <c r="I22" s="69" t="n">
        <v>5</v>
      </c>
      <c r="J22" s="234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34">
        <f>D21-D22</f>
        <v/>
      </c>
      <c r="E23" s="70">
        <f>E21-E22</f>
        <v/>
      </c>
      <c r="F23" s="69">
        <f>F21-F22</f>
        <v/>
      </c>
      <c r="G23" s="234">
        <f>G21-G22</f>
        <v/>
      </c>
      <c r="H23" s="70">
        <f>H21-H22</f>
        <v/>
      </c>
      <c r="I23" s="69">
        <f>I21-I22</f>
        <v/>
      </c>
      <c r="J23" s="234">
        <f>J21-J22</f>
        <v/>
      </c>
      <c r="K23" s="70">
        <f>K21-K22</f>
        <v/>
      </c>
      <c r="L23" s="234">
        <f>SUM(C23:K23)</f>
        <v/>
      </c>
      <c r="M23" s="72">
        <f>SUM(C23:K23)-SUM(C$10:K$10)</f>
        <v/>
      </c>
    </row>
    <row r="24" ht="14.25" customHeight="1" s="197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34" t="n"/>
    </row>
  </sheetData>
  <autoFilter ref="AA2:AE21">
    <sortState ref="AA3:AE21">
      <sortCondition ref="AB2:AB21"/>
    </sortState>
  </autoFilter>
  <mergeCells count="9">
    <mergeCell ref="L2:M2"/>
    <mergeCell ref="O14:X14"/>
    <mergeCell ref="J3:K5"/>
    <mergeCell ref="P8:X8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zoomScaleNormal="100" workbookViewId="0">
      <selection activeCell="Q12" sqref="Q12"/>
    </sheetView>
  </sheetViews>
  <sheetFormatPr baseColWidth="8" defaultColWidth="9.85546875" defaultRowHeight="13.5"/>
  <cols>
    <col width="2.5703125" customWidth="1" style="181" min="1" max="1"/>
    <col width="20.7109375" customWidth="1" style="181" min="2" max="2"/>
    <col width="9.85546875" customWidth="1" style="181" min="3" max="8"/>
    <col width="10.7109375" bestFit="1" customWidth="1" style="181" min="9" max="9"/>
    <col width="10.5703125" customWidth="1" style="181" min="10" max="11"/>
    <col width="10.85546875" customWidth="1" style="181" min="12" max="13"/>
    <col width="5.7109375" customWidth="1" style="181" min="14" max="14"/>
    <col width="11" bestFit="1" customWidth="1" style="181" min="15" max="15"/>
    <col width="16.5703125" bestFit="1" customWidth="1" style="181" min="16" max="16"/>
    <col width="8.85546875" bestFit="1" customWidth="1" style="181" min="17" max="17"/>
    <col width="4.5703125" customWidth="1" style="181" min="18" max="19"/>
    <col width="11" bestFit="1" customWidth="1" style="181" min="20" max="20"/>
    <col width="4" customWidth="1" style="181" min="21" max="29"/>
    <col width="10.42578125" bestFit="1" customWidth="1" style="181" min="30" max="30"/>
    <col width="4" customWidth="1" style="181" min="31" max="39"/>
    <col width="11" bestFit="1" customWidth="1" style="181" min="40" max="40"/>
    <col width="4" customWidth="1" style="181" min="41" max="49"/>
    <col width="10.42578125" bestFit="1" customWidth="1" style="181" min="50" max="50"/>
    <col width="4" customWidth="1" style="181" min="51" max="59"/>
    <col width="9.85546875" customWidth="1" style="181" min="60" max="76"/>
    <col width="9.85546875" customWidth="1" style="181" min="77" max="16384"/>
  </cols>
  <sheetData>
    <row r="1" ht="14.25" customHeight="1" s="197" thickBot="1">
      <c r="B1" s="116" t="inlineStr">
        <is>
          <t>Fill in the course, your name, tees, front/back and gross scores in the grey boxes</t>
        </is>
      </c>
      <c r="J1" s="190" t="inlineStr">
        <is>
          <t>Points</t>
        </is>
      </c>
      <c r="K1" s="191" t="n"/>
      <c r="L1" s="191" t="n"/>
      <c r="M1" s="191" t="n"/>
    </row>
    <row r="2" ht="24.95" customHeight="1" s="197" thickBot="1">
      <c r="B2" s="172" t="inlineStr">
        <is>
          <t>Highland Creek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188">
        <f>B8</f>
        <v/>
      </c>
      <c r="K2" s="179" t="n"/>
      <c r="L2" s="178">
        <f>B17</f>
        <v/>
      </c>
      <c r="M2" s="179" t="n"/>
    </row>
    <row r="3" ht="14.25" customHeight="1" s="197" thickBot="1">
      <c r="B3" s="189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182">
        <f>SUM(D4:H4)</f>
        <v/>
      </c>
      <c r="K3" s="183" t="n"/>
      <c r="L3" s="192">
        <f>SUM(D6:H6)</f>
        <v/>
      </c>
      <c r="M3" s="183" t="n"/>
    </row>
    <row r="4" ht="14.25" customHeight="1" s="197" thickBot="1">
      <c r="B4" s="186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184" t="n"/>
      <c r="K4" s="185" t="n"/>
      <c r="M4" s="185" t="n"/>
    </row>
    <row r="5" ht="14.25" customHeight="1" s="197" thickBot="1">
      <c r="B5" s="189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186" t="n"/>
      <c r="K5" s="187" t="n"/>
      <c r="L5" s="191" t="n"/>
      <c r="M5" s="187" t="n"/>
    </row>
    <row r="6" ht="14.25" customHeight="1" s="197" thickBot="1">
      <c r="B6" s="186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180" t="n"/>
      <c r="K6" s="180" t="n"/>
      <c r="L6" s="180" t="n"/>
      <c r="M6" s="180" t="n"/>
    </row>
    <row r="7">
      <c r="C7" s="180" t="n"/>
      <c r="D7" s="180" t="n"/>
      <c r="E7" s="180" t="n"/>
      <c r="F7" s="180" t="n"/>
      <c r="G7" s="180" t="n"/>
      <c r="H7" s="180" t="n"/>
      <c r="I7" s="180" t="n"/>
      <c r="J7" s="180" t="n"/>
      <c r="K7" s="180" t="n"/>
      <c r="L7" s="180" t="n"/>
      <c r="T7" s="180" t="inlineStr">
        <is>
          <t>Skybrook</t>
        </is>
      </c>
      <c r="AN7" s="180" t="inlineStr">
        <is>
          <t>Highland Creek</t>
        </is>
      </c>
    </row>
    <row r="8" ht="16.5" customHeight="1" s="197" thickBot="1">
      <c r="B8" s="145" t="inlineStr">
        <is>
          <t>Preston Stoner</t>
        </is>
      </c>
      <c r="C8" s="130" t="inlineStr">
        <is>
          <t>Handicap:</t>
        </is>
      </c>
      <c r="D8" s="180">
        <f>_xlfn.XLOOKUP(B8,$P$9:$P$23,$Q$9:$Q$23)</f>
        <v/>
      </c>
      <c r="E8" s="180" t="n"/>
      <c r="F8" s="180" t="inlineStr">
        <is>
          <t>Tees:</t>
        </is>
      </c>
      <c r="G8" s="173" t="inlineStr">
        <is>
          <t>Blue</t>
        </is>
      </c>
      <c r="H8" s="180" t="n"/>
      <c r="I8" s="180" t="inlineStr">
        <is>
          <t>Holes:</t>
        </is>
      </c>
      <c r="J8" s="149" t="inlineStr">
        <is>
          <t>Front 9</t>
        </is>
      </c>
      <c r="K8" s="180" t="n"/>
      <c r="L8" s="180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181" t="inlineStr">
        <is>
          <t>HC's by Tees</t>
        </is>
      </c>
      <c r="U8" s="180" t="inlineStr">
        <is>
          <t>Front 9</t>
        </is>
      </c>
      <c r="AD8" s="180" t="inlineStr">
        <is>
          <t>Back 9</t>
        </is>
      </c>
      <c r="AN8" s="181" t="inlineStr">
        <is>
          <t>HC's by Tees</t>
        </is>
      </c>
      <c r="AO8" s="180" t="inlineStr">
        <is>
          <t>Front 9</t>
        </is>
      </c>
      <c r="AX8" s="180" t="inlineStr">
        <is>
          <t>Back 9</t>
        </is>
      </c>
    </row>
    <row r="9" ht="15" customHeight="1" s="197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180" t="n"/>
      <c r="O9" s="122" t="n">
        <v>1</v>
      </c>
      <c r="P9" s="123" t="inlineStr">
        <is>
          <t>Brian Wojcio</t>
        </is>
      </c>
      <c r="Q9" s="153">
        <f>Schedule!D15</f>
        <v/>
      </c>
      <c r="T9" s="181" t="inlineStr">
        <is>
          <t>Blue</t>
        </is>
      </c>
      <c r="U9" s="180" t="n">
        <v>7</v>
      </c>
      <c r="V9" s="180" t="n">
        <v>15</v>
      </c>
      <c r="W9" s="180" t="n">
        <v>5</v>
      </c>
      <c r="X9" s="180" t="n">
        <v>13</v>
      </c>
      <c r="Y9" s="180" t="n">
        <v>3</v>
      </c>
      <c r="Z9" s="180" t="n">
        <v>11</v>
      </c>
      <c r="AA9" s="180" t="n">
        <v>17</v>
      </c>
      <c r="AB9" s="180" t="n">
        <v>9</v>
      </c>
      <c r="AC9" s="180" t="n">
        <v>1</v>
      </c>
      <c r="AD9" s="181" t="inlineStr">
        <is>
          <t>Blue</t>
        </is>
      </c>
      <c r="AE9" s="180" t="n">
        <v>4</v>
      </c>
      <c r="AF9" s="180" t="n">
        <v>12</v>
      </c>
      <c r="AG9" s="180" t="n">
        <v>14</v>
      </c>
      <c r="AH9" s="180" t="n">
        <v>6</v>
      </c>
      <c r="AI9" s="180" t="n">
        <v>16</v>
      </c>
      <c r="AJ9" s="180" t="n">
        <v>8</v>
      </c>
      <c r="AK9" s="180" t="n">
        <v>18</v>
      </c>
      <c r="AL9" s="180" t="n">
        <v>2</v>
      </c>
      <c r="AM9" s="180" t="n">
        <v>10</v>
      </c>
      <c r="AN9" s="181" t="inlineStr">
        <is>
          <t>Blue</t>
        </is>
      </c>
      <c r="AO9" s="180" t="n">
        <v>7</v>
      </c>
      <c r="AP9" s="180" t="n">
        <v>17</v>
      </c>
      <c r="AQ9" s="180" t="n">
        <v>15</v>
      </c>
      <c r="AR9" s="180" t="n">
        <v>1</v>
      </c>
      <c r="AS9" s="180" t="n">
        <v>11</v>
      </c>
      <c r="AT9" s="180" t="n">
        <v>9</v>
      </c>
      <c r="AU9" s="180" t="n">
        <v>13</v>
      </c>
      <c r="AV9" s="180" t="n">
        <v>5</v>
      </c>
      <c r="AW9" s="180" t="n">
        <v>3</v>
      </c>
      <c r="AX9" s="181" t="inlineStr">
        <is>
          <t>Blue</t>
        </is>
      </c>
      <c r="AY9" s="180" t="n">
        <v>14</v>
      </c>
      <c r="AZ9" s="180" t="n">
        <v>8</v>
      </c>
      <c r="BA9" s="180" t="n">
        <v>6</v>
      </c>
      <c r="BB9" s="180" t="n">
        <v>4</v>
      </c>
      <c r="BC9" s="180" t="n">
        <v>16</v>
      </c>
      <c r="BD9" s="180" t="n">
        <v>2</v>
      </c>
      <c r="BE9" s="180" t="n">
        <v>10</v>
      </c>
      <c r="BF9" s="180" t="n">
        <v>12</v>
      </c>
      <c r="BG9" s="180" t="n">
        <v>18</v>
      </c>
    </row>
    <row r="10">
      <c r="B10" s="135" t="inlineStr">
        <is>
          <t>PAR</t>
        </is>
      </c>
      <c r="C10" s="180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180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180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180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180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181" t="inlineStr">
        <is>
          <t>Green</t>
        </is>
      </c>
      <c r="U10" s="180" t="n">
        <v>7</v>
      </c>
      <c r="V10" s="180" t="n">
        <v>15</v>
      </c>
      <c r="W10" s="180" t="n">
        <v>5</v>
      </c>
      <c r="X10" s="180" t="n">
        <v>13</v>
      </c>
      <c r="Y10" s="180" t="n">
        <v>3</v>
      </c>
      <c r="Z10" s="180" t="n">
        <v>11</v>
      </c>
      <c r="AA10" s="180" t="n">
        <v>17</v>
      </c>
      <c r="AB10" s="180" t="n">
        <v>9</v>
      </c>
      <c r="AC10" s="180" t="n">
        <v>1</v>
      </c>
      <c r="AD10" s="181" t="inlineStr">
        <is>
          <t>Green</t>
        </is>
      </c>
      <c r="AE10" s="180" t="n">
        <v>4</v>
      </c>
      <c r="AF10" s="180" t="n">
        <v>12</v>
      </c>
      <c r="AG10" s="180" t="n">
        <v>14</v>
      </c>
      <c r="AH10" s="180" t="n">
        <v>6</v>
      </c>
      <c r="AI10" s="180" t="n">
        <v>16</v>
      </c>
      <c r="AJ10" s="180" t="n">
        <v>8</v>
      </c>
      <c r="AK10" s="180" t="n">
        <v>18</v>
      </c>
      <c r="AL10" s="180" t="n">
        <v>2</v>
      </c>
      <c r="AM10" s="180" t="n">
        <v>10</v>
      </c>
      <c r="AN10" s="181" t="inlineStr">
        <is>
          <t>White</t>
        </is>
      </c>
      <c r="AO10" s="180" t="n">
        <v>7</v>
      </c>
      <c r="AP10" s="180" t="n">
        <v>17</v>
      </c>
      <c r="AQ10" s="180" t="n">
        <v>15</v>
      </c>
      <c r="AR10" s="180" t="n">
        <v>1</v>
      </c>
      <c r="AS10" s="180" t="n">
        <v>11</v>
      </c>
      <c r="AT10" s="180" t="n">
        <v>9</v>
      </c>
      <c r="AU10" s="180" t="n">
        <v>13</v>
      </c>
      <c r="AV10" s="180" t="n">
        <v>5</v>
      </c>
      <c r="AW10" s="180" t="n">
        <v>3</v>
      </c>
      <c r="AX10" s="181" t="inlineStr">
        <is>
          <t>White</t>
        </is>
      </c>
      <c r="AY10" s="180" t="n">
        <v>14</v>
      </c>
      <c r="AZ10" s="180" t="n">
        <v>8</v>
      </c>
      <c r="BA10" s="180" t="n">
        <v>6</v>
      </c>
      <c r="BB10" s="180" t="n">
        <v>4</v>
      </c>
      <c r="BC10" s="180" t="n">
        <v>16</v>
      </c>
      <c r="BD10" s="180" t="n">
        <v>2</v>
      </c>
      <c r="BE10" s="180" t="n">
        <v>10</v>
      </c>
      <c r="BF10" s="180" t="n">
        <v>12</v>
      </c>
      <c r="BG10" s="180" t="n">
        <v>18</v>
      </c>
    </row>
    <row r="11">
      <c r="B11" s="135" t="inlineStr">
        <is>
          <t>HC</t>
        </is>
      </c>
      <c r="C11" s="180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180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180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180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180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181" t="inlineStr">
        <is>
          <t>Red</t>
        </is>
      </c>
      <c r="U11" s="180" t="n">
        <v>17</v>
      </c>
      <c r="V11" s="180" t="n">
        <v>9</v>
      </c>
      <c r="W11" s="180" t="n">
        <v>5</v>
      </c>
      <c r="X11" s="180" t="n">
        <v>7</v>
      </c>
      <c r="Y11" s="180" t="n">
        <v>3</v>
      </c>
      <c r="Z11" s="180" t="n">
        <v>15</v>
      </c>
      <c r="AA11" s="180" t="n">
        <v>11</v>
      </c>
      <c r="AB11" s="180" t="n">
        <v>13</v>
      </c>
      <c r="AC11" s="180" t="n">
        <v>1</v>
      </c>
      <c r="AD11" s="181" t="inlineStr">
        <is>
          <t>Red</t>
        </is>
      </c>
      <c r="AE11" s="180" t="n">
        <v>4</v>
      </c>
      <c r="AF11" s="180" t="n">
        <v>10</v>
      </c>
      <c r="AG11" s="180" t="n">
        <v>14</v>
      </c>
      <c r="AH11" s="180" t="n">
        <v>6</v>
      </c>
      <c r="AI11" s="180" t="n">
        <v>16</v>
      </c>
      <c r="AJ11" s="180" t="n">
        <v>12</v>
      </c>
      <c r="AK11" s="180" t="n">
        <v>18</v>
      </c>
      <c r="AL11" s="180" t="n">
        <v>2</v>
      </c>
      <c r="AM11" s="180" t="n">
        <v>8</v>
      </c>
      <c r="AN11" s="181" t="inlineStr">
        <is>
          <t>Red</t>
        </is>
      </c>
      <c r="AO11" s="180" t="n">
        <v>7</v>
      </c>
      <c r="AP11" s="180" t="n">
        <v>17</v>
      </c>
      <c r="AQ11" s="180" t="n">
        <v>15</v>
      </c>
      <c r="AR11" s="180" t="n">
        <v>1</v>
      </c>
      <c r="AS11" s="180" t="n">
        <v>11</v>
      </c>
      <c r="AT11" s="180" t="n">
        <v>9</v>
      </c>
      <c r="AU11" s="180" t="n">
        <v>13</v>
      </c>
      <c r="AV11" s="180" t="n">
        <v>5</v>
      </c>
      <c r="AW11" s="180" t="n">
        <v>3</v>
      </c>
      <c r="AX11" s="181" t="inlineStr">
        <is>
          <t>Red</t>
        </is>
      </c>
      <c r="AY11" s="180" t="n">
        <v>14</v>
      </c>
      <c r="AZ11" s="180" t="n">
        <v>8</v>
      </c>
      <c r="BA11" s="180" t="n">
        <v>6</v>
      </c>
      <c r="BB11" s="180" t="n">
        <v>4</v>
      </c>
      <c r="BC11" s="180" t="n">
        <v>16</v>
      </c>
      <c r="BD11" s="180" t="n">
        <v>2</v>
      </c>
      <c r="BE11" s="180" t="n">
        <v>10</v>
      </c>
      <c r="BF11" s="180" t="n">
        <v>12</v>
      </c>
      <c r="BG11" s="180" t="n">
        <v>18</v>
      </c>
    </row>
    <row r="12" ht="15" customHeight="1" s="197">
      <c r="B12" s="138" t="inlineStr">
        <is>
          <t>GROSS</t>
        </is>
      </c>
      <c r="C12" s="146" t="n">
        <v>7</v>
      </c>
      <c r="D12" s="147" t="n">
        <v>6</v>
      </c>
      <c r="E12" s="148" t="n">
        <v>5</v>
      </c>
      <c r="F12" s="146" t="n">
        <v>7</v>
      </c>
      <c r="G12" s="147" t="n">
        <v>6</v>
      </c>
      <c r="H12" s="148" t="n">
        <v>3</v>
      </c>
      <c r="I12" s="146" t="n">
        <v>7</v>
      </c>
      <c r="J12" s="147" t="n">
        <v>5</v>
      </c>
      <c r="K12" s="148" t="n">
        <v>6</v>
      </c>
      <c r="L12" s="180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181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181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181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181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180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180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180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180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180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180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97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180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180" t="n"/>
      <c r="D16" s="180" t="n"/>
      <c r="E16" s="180" t="n"/>
      <c r="F16" s="180" t="n"/>
      <c r="G16" s="180" t="n"/>
      <c r="H16" s="180" t="n"/>
      <c r="I16" s="180" t="n"/>
      <c r="J16" s="180" t="n"/>
      <c r="K16" s="180" t="n"/>
      <c r="L16" s="180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97" thickBot="1">
      <c r="B17" s="145" t="inlineStr">
        <is>
          <t>Charlotte Hayes</t>
        </is>
      </c>
      <c r="C17" s="130" t="inlineStr">
        <is>
          <t>Handicap:</t>
        </is>
      </c>
      <c r="D17" s="180">
        <f>_xlfn.XLOOKUP(B17,$P$9:$P$23,$Q$9:$Q$23)</f>
        <v/>
      </c>
      <c r="E17" s="180" t="n"/>
      <c r="F17" s="180" t="inlineStr">
        <is>
          <t>Tees:</t>
        </is>
      </c>
      <c r="G17" s="173" t="inlineStr">
        <is>
          <t>Blue</t>
        </is>
      </c>
      <c r="H17" s="180" t="n"/>
      <c r="I17" s="180" t="inlineStr">
        <is>
          <t>Holes:</t>
        </is>
      </c>
      <c r="J17" s="180">
        <f>J8</f>
        <v/>
      </c>
      <c r="K17" s="180" t="n"/>
      <c r="L17" s="180" t="n"/>
      <c r="O17" s="122" t="n">
        <v>9</v>
      </c>
      <c r="P17" s="123" t="inlineStr">
        <is>
          <t>Preston Stoner</t>
        </is>
      </c>
      <c r="Q17" s="153">
        <f>Schedule!D23</f>
        <v/>
      </c>
    </row>
    <row r="18" ht="15" customHeight="1" s="197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180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180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180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180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180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180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180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180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180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180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180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97">
      <c r="B21" s="138" t="inlineStr">
        <is>
          <t>GROSS</t>
        </is>
      </c>
      <c r="C21" s="146" t="n">
        <v>8</v>
      </c>
      <c r="D21" s="147" t="n">
        <v>8</v>
      </c>
      <c r="E21" s="148" t="n">
        <v>5</v>
      </c>
      <c r="F21" s="146" t="n">
        <v>8</v>
      </c>
      <c r="G21" s="147" t="n">
        <v>8</v>
      </c>
      <c r="H21" s="148" t="n">
        <v>6</v>
      </c>
      <c r="I21" s="146" t="n">
        <v>9</v>
      </c>
      <c r="J21" s="147" t="n">
        <v>8</v>
      </c>
      <c r="K21" s="148" t="n">
        <v>8</v>
      </c>
      <c r="L21" s="180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180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180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180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180">
        <f>D21-D22</f>
        <v/>
      </c>
      <c r="E23" s="137">
        <f>E21-E22</f>
        <v/>
      </c>
      <c r="F23" s="136">
        <f>F21-F22</f>
        <v/>
      </c>
      <c r="G23" s="180">
        <f>G21-G22</f>
        <v/>
      </c>
      <c r="H23" s="137">
        <f>H21-H22</f>
        <v/>
      </c>
      <c r="I23" s="136">
        <f>I21-I22</f>
        <v/>
      </c>
      <c r="J23" s="180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97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180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2.75"/>
  <cols>
    <col width="8.85546875" bestFit="1" customWidth="1" style="197" min="3" max="3"/>
    <col width="14.140625" bestFit="1" customWidth="1" style="197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2.75"/>
  <cols>
    <col width="18" bestFit="1" customWidth="1" style="197" min="1" max="1"/>
    <col width="28" bestFit="1" customWidth="1" style="196" min="2" max="2"/>
    <col width="28.5703125" bestFit="1" customWidth="1" style="197" min="3" max="3"/>
    <col width="31.7109375" bestFit="1" customWidth="1" style="197" min="4" max="4"/>
    <col width="29.42578125" bestFit="1" customWidth="1" style="197" min="5" max="5"/>
    <col width="26.42578125" bestFit="1" customWidth="1" style="197" min="6" max="6"/>
    <col width="28.85546875" bestFit="1" customWidth="1" style="197" min="7" max="7"/>
    <col width="27.7109375" bestFit="1" customWidth="1" style="197" min="8" max="8"/>
    <col width="28" bestFit="1" customWidth="1" style="197" min="9" max="9"/>
    <col width="28.5703125" bestFit="1" customWidth="1" style="197" min="10" max="10"/>
    <col width="31.7109375" bestFit="1" customWidth="1" style="197" min="11" max="11"/>
    <col width="29.42578125" bestFit="1" customWidth="1" style="197" min="12" max="12"/>
    <col width="26.425781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97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2.75"/>
  <cols>
    <col width="24.5703125" bestFit="1" customWidth="1" style="197" min="1" max="1"/>
    <col width="26.28515625" bestFit="1" customWidth="1" style="196" min="2" max="2"/>
    <col width="27.140625" bestFit="1" customWidth="1" style="197" min="3" max="3"/>
    <col width="30" bestFit="1" customWidth="1" style="197" min="4" max="4"/>
    <col width="27.85546875" bestFit="1" customWidth="1" style="197" min="5" max="5"/>
    <col width="24.85546875" bestFit="1" customWidth="1" style="197" min="6" max="6"/>
    <col hidden="1" width="26.28515625" customWidth="1" style="197" min="7" max="7"/>
    <col hidden="1" width="24.85546875" customWidth="1" style="197" min="8" max="8"/>
    <col width="26.28515625" bestFit="1" customWidth="1" style="197" min="9" max="9"/>
    <col width="27.140625" bestFit="1" customWidth="1" style="197" min="10" max="10"/>
    <col width="30" bestFit="1" customWidth="1" style="197" min="11" max="11"/>
    <col width="27.85546875" bestFit="1" customWidth="1" style="197" min="12" max="12"/>
    <col width="24.8554687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97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97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97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97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2.75"/>
  <cols>
    <col width="24.5703125" bestFit="1" customWidth="1" style="197" min="1" max="1"/>
    <col width="26.28515625" bestFit="1" customWidth="1" style="196" min="2" max="2"/>
    <col width="27.140625" bestFit="1" customWidth="1" style="197" min="3" max="3"/>
    <col width="30" bestFit="1" customWidth="1" style="197" min="4" max="4"/>
    <col width="27.85546875" bestFit="1" customWidth="1" style="197" min="5" max="5"/>
    <col width="24.85546875" bestFit="1" customWidth="1" style="197" min="6" max="6"/>
    <col hidden="1" width="26.28515625" customWidth="1" style="197" min="7" max="7"/>
    <col hidden="1" width="24.85546875" customWidth="1" style="197" min="8" max="8"/>
    <col width="26.28515625" bestFit="1" customWidth="1" style="197" min="9" max="9"/>
    <col width="27.140625" bestFit="1" customWidth="1" style="197" min="10" max="10"/>
    <col width="30" bestFit="1" customWidth="1" style="197" min="11" max="11"/>
    <col width="27.85546875" customWidth="1" style="197" min="12" max="12"/>
    <col width="24.8554687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28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97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97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97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2026-07-07T12:54:49Z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