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13" documentId="11_8C2FB78B39C5EBC2F08C2CBAA07C8ED351C78C31" xr6:coauthVersionLast="47" xr6:coauthVersionMax="47" xr10:uidLastSave="{04FE213B-4E9E-42DB-95C5-672B9A58F09F}"/>
  <bookViews>
    <workbookView xWindow="-120" yWindow="-120" windowWidth="38640" windowHeight="21120" tabRatio="714" firstSheet="5" activeTab="9" xr2:uid="{00000000-000D-0000-FFFF-FFFF00000000}"/>
  </bookViews>
  <sheets>
    <sheet name="Scores 2024" sheetId="1" state="hidden" r:id="rId1"/>
    <sheet name="Sep 2 - 13th" sheetId="2" state="hidden" r:id="rId2"/>
    <sheet name="July 22 - Aug 2nd" sheetId="3" state="hidden" r:id="rId3"/>
    <sheet name="Aug 5 - 16th" sheetId="4" state="hidden" r:id="rId4"/>
    <sheet name="Aug 19 - 30th" sheetId="5" state="hidden" r:id="rId5"/>
    <sheet name="Schedule" sheetId="6" r:id="rId6"/>
    <sheet name="Course Info" sheetId="7" state="hidden" r:id="rId7"/>
    <sheet name="Scores 2026" sheetId="8" r:id="rId8"/>
    <sheet name="Calculator (old)" sheetId="9" state="hidden" r:id="rId9"/>
    <sheet name="Calculator" sheetId="10" r:id="rId10"/>
    <sheet name="Helper" sheetId="11" state="hidden" r:id="rId11"/>
    <sheet name="Sep 16 - 27th" sheetId="12" state="hidden" r:id="rId12"/>
    <sheet name="Sep 30 - Oct 11" sheetId="13" state="hidden" r:id="rId13"/>
    <sheet name="Oct 14 - 25th" sheetId="14" state="hidden" r:id="rId14"/>
  </sheets>
  <definedNames>
    <definedName name="_xlnm._FilterDatabase" localSheetId="8" hidden="1">'Calculator (old)'!$AA$2:$AE$21</definedName>
    <definedName name="Highland_Creek">Helper!$D$3:$D$5</definedName>
    <definedName name="Skybrook">Helper!$C$3:$C$5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" i="9" l="1"/>
  <c r="J23" i="9"/>
  <c r="I23" i="9"/>
  <c r="I24" i="9" s="1"/>
  <c r="H23" i="9"/>
  <c r="G23" i="9"/>
  <c r="F23" i="9"/>
  <c r="E23" i="9"/>
  <c r="D23" i="9"/>
  <c r="C23" i="9"/>
  <c r="H5" i="9" s="1"/>
  <c r="AD21" i="9"/>
  <c r="AC21" i="9"/>
  <c r="M21" i="9"/>
  <c r="L21" i="9"/>
  <c r="AD20" i="9"/>
  <c r="AC20" i="9"/>
  <c r="K20" i="9" a="1"/>
  <c r="K20" i="9"/>
  <c r="J20" i="9" a="1"/>
  <c r="J20" i="9"/>
  <c r="I20" i="9" a="1"/>
  <c r="I20" i="9" s="1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/>
  <c r="AD19" i="9"/>
  <c r="AC19" i="9"/>
  <c r="L19" i="9"/>
  <c r="AD18" i="9"/>
  <c r="AC18" i="9"/>
  <c r="AD17" i="9"/>
  <c r="AC17" i="9"/>
  <c r="D17" i="9"/>
  <c r="AD16" i="9"/>
  <c r="AC16" i="9"/>
  <c r="AD15" i="9"/>
  <c r="AC15" i="9"/>
  <c r="AD14" i="9"/>
  <c r="AC14" i="9"/>
  <c r="J14" i="9"/>
  <c r="J24" i="9" s="1"/>
  <c r="I14" i="9"/>
  <c r="I15" i="9" s="1"/>
  <c r="C14" i="9"/>
  <c r="C15" i="9" s="1"/>
  <c r="AD13" i="9"/>
  <c r="AC13" i="9"/>
  <c r="AD12" i="9"/>
  <c r="AC12" i="9"/>
  <c r="M12" i="9"/>
  <c r="L12" i="9"/>
  <c r="AD11" i="9"/>
  <c r="AC11" i="9"/>
  <c r="K11" i="9" a="1"/>
  <c r="K11" i="9" s="1"/>
  <c r="K14" i="9" s="1"/>
  <c r="K15" i="9" s="1"/>
  <c r="J11" i="9" a="1"/>
  <c r="J11" i="9"/>
  <c r="I11" i="9" a="1"/>
  <c r="I11" i="9"/>
  <c r="H11" i="9" a="1"/>
  <c r="H11" i="9"/>
  <c r="G11" i="9" a="1"/>
  <c r="G11" i="9" s="1"/>
  <c r="G14" i="9" s="1"/>
  <c r="F11" i="9" a="1"/>
  <c r="F11" i="9"/>
  <c r="F14" i="9" s="1"/>
  <c r="E11" i="9" a="1"/>
  <c r="E11" i="9"/>
  <c r="E14" i="9" s="1"/>
  <c r="D11" i="9" a="1"/>
  <c r="D11" i="9"/>
  <c r="D14" i="9" s="1"/>
  <c r="C11" i="9" a="1"/>
  <c r="C11" i="9" s="1"/>
  <c r="AD10" i="9"/>
  <c r="AC10" i="9"/>
  <c r="L10" i="9"/>
  <c r="AD9" i="9"/>
  <c r="AC9" i="9"/>
  <c r="AD8" i="9"/>
  <c r="AC8" i="9"/>
  <c r="D8" i="9"/>
  <c r="H14" i="9" s="1"/>
  <c r="AD7" i="9"/>
  <c r="AC7" i="9"/>
  <c r="AD6" i="9"/>
  <c r="AC6" i="9"/>
  <c r="AD5" i="9"/>
  <c r="AC5" i="9"/>
  <c r="B5" i="9"/>
  <c r="AD4" i="9"/>
  <c r="AC4" i="9"/>
  <c r="AD3" i="9"/>
  <c r="AC3" i="9"/>
  <c r="B3" i="9"/>
  <c r="L2" i="9"/>
  <c r="J2" i="9"/>
  <c r="B31" i="8"/>
  <c r="B29" i="8"/>
  <c r="B27" i="8"/>
  <c r="B25" i="8"/>
  <c r="B23" i="8"/>
  <c r="B21" i="8"/>
  <c r="B19" i="8"/>
  <c r="B17" i="8"/>
  <c r="B15" i="8"/>
  <c r="B13" i="8"/>
  <c r="B11" i="8"/>
  <c r="B9" i="8"/>
  <c r="B7" i="8"/>
  <c r="B5" i="8"/>
  <c r="B3" i="8"/>
  <c r="C46" i="7"/>
  <c r="C45" i="7" a="1"/>
  <c r="C45" i="7"/>
  <c r="C44" i="7" a="1"/>
  <c r="C44" i="7"/>
  <c r="C40" i="7" a="1"/>
  <c r="C40" i="7" s="1"/>
  <c r="AI6" i="7" a="1"/>
  <c r="AI6" i="7"/>
  <c r="AH6" i="7" a="1"/>
  <c r="AH6" i="7"/>
  <c r="AG6" i="7" a="1"/>
  <c r="AG6" i="7"/>
  <c r="AF6" i="7" a="1"/>
  <c r="AF6" i="7"/>
  <c r="AE6" i="7" a="1"/>
  <c r="AE6" i="7"/>
  <c r="AD6" i="7" a="1"/>
  <c r="AD6" i="7"/>
  <c r="AC6" i="7" a="1"/>
  <c r="AC6" i="7" s="1"/>
  <c r="AB6" i="7" a="1"/>
  <c r="AB6" i="7" s="1"/>
  <c r="AA6" i="7" a="1"/>
  <c r="AA6" i="7"/>
  <c r="Z6" i="7" a="1"/>
  <c r="Z6" i="7"/>
  <c r="Y6" i="7" a="1"/>
  <c r="Y6" i="7"/>
  <c r="X6" i="7" a="1"/>
  <c r="X6" i="7"/>
  <c r="T6" i="7" a="1"/>
  <c r="T6" i="7"/>
  <c r="S6" i="7" a="1"/>
  <c r="S6" i="7"/>
  <c r="R6" i="7" a="1"/>
  <c r="R6" i="7"/>
  <c r="Q6" i="7" a="1"/>
  <c r="Q6" i="7" s="1"/>
  <c r="O4" i="7"/>
  <c r="C43" i="7" s="1" a="1"/>
  <c r="C43" i="7" s="1"/>
  <c r="J4" i="7"/>
  <c r="H4" i="7"/>
  <c r="G4" i="7"/>
  <c r="P6" i="7" s="1" a="1"/>
  <c r="P6" i="7" s="1"/>
  <c r="M4" i="7" s="1" a="1"/>
  <c r="M4" i="7" s="1"/>
  <c r="B17" i="6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Q23" i="10"/>
  <c r="Q22" i="10"/>
  <c r="Q21" i="10"/>
  <c r="L21" i="10"/>
  <c r="Q20" i="10"/>
  <c r="Q19" i="10"/>
  <c r="O19" i="10"/>
  <c r="K19" i="10" a="1"/>
  <c r="K19" i="10" s="1"/>
  <c r="Q18" i="10"/>
  <c r="Q17" i="10"/>
  <c r="J17" i="10"/>
  <c r="J19" i="10" s="1" a="1"/>
  <c r="J19" i="10" s="1"/>
  <c r="D17" i="10"/>
  <c r="Q16" i="10"/>
  <c r="Q15" i="10"/>
  <c r="O15" i="10"/>
  <c r="Q14" i="10"/>
  <c r="Q13" i="10"/>
  <c r="Q12" i="10"/>
  <c r="L12" i="10"/>
  <c r="Q11" i="10"/>
  <c r="O11" i="10"/>
  <c r="K11" i="10" a="1"/>
  <c r="K11" i="10" s="1"/>
  <c r="J11" i="10" a="1"/>
  <c r="J11" i="10" s="1"/>
  <c r="I11" i="10" a="1"/>
  <c r="I11" i="10" s="1"/>
  <c r="H11" i="10" a="1"/>
  <c r="H11" i="10" s="1"/>
  <c r="G11" i="10" a="1"/>
  <c r="G11" i="10" s="1"/>
  <c r="F11" i="10" a="1"/>
  <c r="F11" i="10" s="1"/>
  <c r="E11" i="10" a="1"/>
  <c r="E11" i="10" s="1"/>
  <c r="D11" i="10" a="1"/>
  <c r="D11" i="10" s="1"/>
  <c r="C11" i="10" a="1"/>
  <c r="C11" i="10" s="1"/>
  <c r="Q10" i="10"/>
  <c r="K10" i="10" a="1"/>
  <c r="K10" i="10" s="1"/>
  <c r="J10" i="10" a="1"/>
  <c r="J10" i="10" s="1"/>
  <c r="I10" i="10" a="1"/>
  <c r="I10" i="10" s="1"/>
  <c r="H10" i="10" a="1"/>
  <c r="H10" i="10" s="1"/>
  <c r="G10" i="10" a="1"/>
  <c r="G10" i="10" s="1"/>
  <c r="F10" i="10" a="1"/>
  <c r="F10" i="10"/>
  <c r="E10" i="10" a="1"/>
  <c r="E10" i="10"/>
  <c r="D10" i="10" a="1"/>
  <c r="D10" i="10" s="1"/>
  <c r="C10" i="10" a="1"/>
  <c r="C10" i="10" s="1"/>
  <c r="Q9" i="10"/>
  <c r="D8" i="10"/>
  <c r="L2" i="10"/>
  <c r="B5" i="10" s="1"/>
  <c r="J2" i="10"/>
  <c r="B3" i="10" s="1"/>
  <c r="H13" i="10" l="1"/>
  <c r="I13" i="10"/>
  <c r="J14" i="10"/>
  <c r="J13" i="10"/>
  <c r="K13" i="10"/>
  <c r="G24" i="9"/>
  <c r="G15" i="9"/>
  <c r="D24" i="9"/>
  <c r="F24" i="9"/>
  <c r="F15" i="9"/>
  <c r="E24" i="9"/>
  <c r="E15" i="9"/>
  <c r="L10" i="10"/>
  <c r="M12" i="10"/>
  <c r="M21" i="10"/>
  <c r="H24" i="9"/>
  <c r="H15" i="9"/>
  <c r="L14" i="9"/>
  <c r="M14" i="9"/>
  <c r="H3" i="9"/>
  <c r="H4" i="9" s="1"/>
  <c r="D15" i="9"/>
  <c r="D3" i="9" s="1"/>
  <c r="F22" i="10"/>
  <c r="F23" i="10" s="1"/>
  <c r="K24" i="9"/>
  <c r="F5" i="9" s="1"/>
  <c r="F6" i="9" s="1"/>
  <c r="C20" i="10" a="1"/>
  <c r="C20" i="10" s="1"/>
  <c r="C22" i="10" s="1"/>
  <c r="C23" i="10" s="1"/>
  <c r="G14" i="10"/>
  <c r="D20" i="10" a="1"/>
  <c r="D20" i="10" s="1"/>
  <c r="D22" i="10" s="1"/>
  <c r="D23" i="10" s="1"/>
  <c r="U6" i="7" a="1"/>
  <c r="U6" i="7" s="1"/>
  <c r="H14" i="10"/>
  <c r="D14" i="10"/>
  <c r="C19" i="10" a="1"/>
  <c r="C19" i="10" s="1"/>
  <c r="I14" i="10"/>
  <c r="E20" i="10" a="1"/>
  <c r="E20" i="10" s="1"/>
  <c r="V6" i="7" a="1"/>
  <c r="V6" i="7" s="1"/>
  <c r="E22" i="10"/>
  <c r="E23" i="10" s="1"/>
  <c r="K14" i="10"/>
  <c r="F20" i="10" a="1"/>
  <c r="F20" i="10" s="1"/>
  <c r="W6" i="7" a="1"/>
  <c r="W6" i="7" s="1"/>
  <c r="F14" i="10"/>
  <c r="E19" i="10" a="1"/>
  <c r="E19" i="10" s="1"/>
  <c r="C38" i="7"/>
  <c r="L23" i="9"/>
  <c r="D19" i="10" a="1"/>
  <c r="D19" i="10" s="1"/>
  <c r="G20" i="10" a="1"/>
  <c r="G20" i="10" s="1"/>
  <c r="G22" i="10" s="1"/>
  <c r="G23" i="10" s="1"/>
  <c r="J15" i="9"/>
  <c r="F3" i="9" s="1"/>
  <c r="M23" i="9"/>
  <c r="E14" i="10"/>
  <c r="F19" i="10" a="1"/>
  <c r="F19" i="10" s="1"/>
  <c r="L4" i="7" a="1"/>
  <c r="L4" i="7" s="1"/>
  <c r="C39" i="7" a="1"/>
  <c r="C39" i="7" s="1"/>
  <c r="C24" i="9"/>
  <c r="H20" i="10" a="1"/>
  <c r="H20" i="10" s="1"/>
  <c r="H22" i="10" s="1"/>
  <c r="H23" i="10" s="1"/>
  <c r="N4" i="7" a="1"/>
  <c r="N4" i="7" s="1"/>
  <c r="C41" i="7" a="1"/>
  <c r="C41" i="7" s="1"/>
  <c r="C13" i="10"/>
  <c r="C14" i="10" s="1"/>
  <c r="I20" i="10" a="1"/>
  <c r="I20" i="10" s="1"/>
  <c r="I22" i="10" s="1"/>
  <c r="I23" i="10" s="1"/>
  <c r="D13" i="10"/>
  <c r="H19" i="10" a="1"/>
  <c r="H19" i="10" s="1"/>
  <c r="E13" i="10"/>
  <c r="J20" i="10" a="1"/>
  <c r="J20" i="10" s="1"/>
  <c r="J22" i="10" s="1"/>
  <c r="J23" i="10" s="1"/>
  <c r="G19" i="10" a="1"/>
  <c r="G19" i="10" s="1"/>
  <c r="F13" i="10"/>
  <c r="I19" i="10" a="1"/>
  <c r="I19" i="10" s="1"/>
  <c r="C42" i="7" a="1"/>
  <c r="C42" i="7" s="1"/>
  <c r="G13" i="10"/>
  <c r="K20" i="10" a="1"/>
  <c r="K20" i="10" s="1"/>
  <c r="K22" i="10" s="1"/>
  <c r="K23" i="10" s="1"/>
  <c r="K24" i="10" l="1"/>
  <c r="F5" i="10" s="1"/>
  <c r="H24" i="10"/>
  <c r="F24" i="10"/>
  <c r="D24" i="10"/>
  <c r="I24" i="10"/>
  <c r="G24" i="10"/>
  <c r="E24" i="10"/>
  <c r="F4" i="9"/>
  <c r="J24" i="10"/>
  <c r="J15" i="10"/>
  <c r="E3" i="9"/>
  <c r="L19" i="10"/>
  <c r="E5" i="9"/>
  <c r="E6" i="9" s="1"/>
  <c r="G3" i="9"/>
  <c r="H15" i="10"/>
  <c r="H3" i="10"/>
  <c r="H4" i="10" s="1"/>
  <c r="C15" i="10"/>
  <c r="L14" i="10"/>
  <c r="M14" i="10"/>
  <c r="D15" i="10"/>
  <c r="E15" i="10"/>
  <c r="H6" i="9"/>
  <c r="F15" i="10"/>
  <c r="I15" i="10"/>
  <c r="G5" i="9"/>
  <c r="G6" i="9" s="1"/>
  <c r="D5" i="9"/>
  <c r="D6" i="9" s="1"/>
  <c r="K15" i="10"/>
  <c r="G15" i="10"/>
  <c r="M23" i="10"/>
  <c r="L23" i="10"/>
  <c r="H5" i="10"/>
  <c r="C24" i="10"/>
  <c r="E5" i="10" l="1"/>
  <c r="F3" i="10"/>
  <c r="F4" i="10" s="1"/>
  <c r="E4" i="9"/>
  <c r="D4" i="9"/>
  <c r="L3" i="9"/>
  <c r="E3" i="10"/>
  <c r="E4" i="10" s="1"/>
  <c r="D3" i="10"/>
  <c r="G3" i="10"/>
  <c r="G4" i="9"/>
  <c r="G5" i="10"/>
  <c r="D5" i="10"/>
  <c r="H6" i="10"/>
  <c r="F6" i="10" l="1"/>
  <c r="G6" i="10"/>
  <c r="D6" i="10"/>
  <c r="G4" i="10"/>
  <c r="D4" i="10"/>
  <c r="J3" i="9"/>
  <c r="E6" i="10"/>
  <c r="L3" i="10" l="1"/>
  <c r="J3" i="10"/>
</calcChain>
</file>

<file path=xl/sharedStrings.xml><?xml version="1.0" encoding="utf-8"?>
<sst xmlns="http://schemas.openxmlformats.org/spreadsheetml/2006/main" count="556" uniqueCount="265">
  <si>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</si>
  <si>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</si>
  <si>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</si>
  <si>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</si>
  <si>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</si>
  <si>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</si>
  <si>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</si>
  <si>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</si>
  <si>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</si>
  <si>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</si>
  <si>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</si>
  <si>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Brian Wojcio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</si>
  <si>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</si>
  <si>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</si>
  <si>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</si>
  <si>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</si>
  <si>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</si>
  <si>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</si>
  <si>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</si>
  <si>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</si>
  <si>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</si>
  <si>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</si>
  <si>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</si>
  <si>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</si>
  <si>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</si>
  <si>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</si>
  <si>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</si>
  <si>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</si>
  <si>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</si>
  <si>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</si>
  <si>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</si>
  <si>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</si>
  <si>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</si>
  <si>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</si>
  <si>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</si>
  <si>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</si>
  <si>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</si>
  <si>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</si>
  <si>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</si>
  <si>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Curtis Lynn</t>
  </si>
  <si>
    <t>Ben Linck</t>
  </si>
  <si>
    <t>Charlotte Hayes</t>
  </si>
  <si>
    <t>David Maddox</t>
  </si>
  <si>
    <t>Jerome Martin</t>
  </si>
  <si>
    <t>Kaylan Adams</t>
  </si>
  <si>
    <t>Megan Serian</t>
  </si>
  <si>
    <t>Nick Coglianese</t>
  </si>
  <si>
    <t>Tiebreaker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</si>
  <si>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</si>
  <si>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</si>
  <si>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</si>
  <si>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</si>
  <si>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</si>
  <si>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</si>
  <si>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</si>
  <si>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</si>
  <si>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League Total Score</t>
  </si>
  <si>
    <t>Match Record</t>
  </si>
  <si>
    <t>Timothy Hunter</t>
  </si>
  <si>
    <t>Match Points</t>
  </si>
  <si>
    <t>John Thorton</t>
  </si>
  <si>
    <t>Vince Frasco</t>
  </si>
  <si>
    <t>Michael Anukwuem</t>
  </si>
  <si>
    <t>Marshall Thompson</t>
  </si>
  <si>
    <t>Stephen Keeler</t>
  </si>
  <si>
    <t>David Hughes</t>
  </si>
  <si>
    <t>Edward Plasket</t>
  </si>
  <si>
    <t>JD DeCaprio</t>
  </si>
  <si>
    <t>Pete Litterini</t>
  </si>
  <si>
    <t>Bruce Dubovecky</t>
  </si>
  <si>
    <t>Brandon Sizemore</t>
  </si>
  <si>
    <t>Mike Rider</t>
  </si>
  <si>
    <t>Kevin Edwards</t>
  </si>
  <si>
    <t>William Bembenek</t>
  </si>
  <si>
    <t>Brian Babecki</t>
  </si>
  <si>
    <t>Ariana Smith</t>
  </si>
  <si>
    <t>2024 Bechtel Golf League Schedule Tee Time</t>
  </si>
  <si>
    <t>TEE TIME</t>
  </si>
  <si>
    <t>3 vs 11</t>
  </si>
  <si>
    <t>7 vs 15, 2 vs 9 (makeup from Aug 19-30th)</t>
  </si>
  <si>
    <t>4 vs 13, 9 v 16</t>
  </si>
  <si>
    <t>4 vs 12 (makeup) booked for 4 if any group wants to join us.</t>
  </si>
  <si>
    <t>9 vs. 11, 1 vs 3</t>
  </si>
  <si>
    <t>6 vs 8 &amp; 14 vs 17</t>
  </si>
  <si>
    <t>13 vs 15</t>
  </si>
  <si>
    <t>5 vs 7, 10 vs 12</t>
  </si>
  <si>
    <t>2 vs 4</t>
  </si>
  <si>
    <t>10 vs 11</t>
  </si>
  <si>
    <t>9 vs. 12</t>
  </si>
  <si>
    <t>5 vs 8 
6 vs 7</t>
  </si>
  <si>
    <t>16 vs 18 (makeup from 7/22-8/2)</t>
  </si>
  <si>
    <t>13 vs. 16
14 vs. 18</t>
  </si>
  <si>
    <t>15 vs.17 (makeup from August 5th to 16th)</t>
  </si>
  <si>
    <t xml:space="preserve">18 vs 10 </t>
  </si>
  <si>
    <t>8 vs 16</t>
  </si>
  <si>
    <t>1 vs 4 (makeup from Aug 5-16th)</t>
  </si>
  <si>
    <t xml:space="preserve">1 vs 5 </t>
  </si>
  <si>
    <t>2026 iCON Golf League Schedule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</si>
  <si>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</si>
  <si>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</si>
  <si>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</si>
  <si>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</si>
  <si>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</si>
  <si>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</si>
  <si>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</si>
  <si>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</si>
  <si>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Round 9</t>
  </si>
  <si>
    <t>Finished Matchups</t>
  </si>
  <si>
    <t>Dates</t>
  </si>
  <si>
    <t>April 20th - May 1st</t>
  </si>
  <si>
    <t>May 4th - May 15th</t>
  </si>
  <si>
    <t>May 18th - May 29th</t>
  </si>
  <si>
    <t>June 1st - June 12th</t>
  </si>
  <si>
    <t>June 15th - June 26th</t>
  </si>
  <si>
    <t>June 29th - July 10th</t>
  </si>
  <si>
    <t>July 13th - July 24th</t>
  </si>
  <si>
    <t>July 27th - August 7th</t>
  </si>
  <si>
    <t>Aug. 10th - Aug. 21st</t>
  </si>
  <si>
    <t>Makeup Match</t>
  </si>
  <si>
    <t>1 vs 2</t>
  </si>
  <si>
    <t>1 vs 3</t>
  </si>
  <si>
    <t>1 vs 4</t>
  </si>
  <si>
    <t>1 vs 5</t>
  </si>
  <si>
    <t>4 vs 5</t>
  </si>
  <si>
    <t>1 vs 8</t>
  </si>
  <si>
    <t>1 vs 10</t>
  </si>
  <si>
    <t>1 vs 6</t>
  </si>
  <si>
    <t>1 vs 9</t>
  </si>
  <si>
    <t>3 vs 4</t>
  </si>
  <si>
    <t>2 vs 5</t>
  </si>
  <si>
    <t>2 vs 7</t>
  </si>
  <si>
    <t>6 vs 7</t>
  </si>
  <si>
    <t>2 vs 3</t>
  </si>
  <si>
    <t>2 vs 11</t>
  </si>
  <si>
    <t>2 vs 8</t>
  </si>
  <si>
    <t>2 vs 6</t>
  </si>
  <si>
    <t>5 vs 6</t>
  </si>
  <si>
    <t>5 vs 7</t>
  </si>
  <si>
    <t>3 vs 6</t>
  </si>
  <si>
    <t>3 vs 8</t>
  </si>
  <si>
    <t>8 vs 9</t>
  </si>
  <si>
    <t>7 vs 10</t>
  </si>
  <si>
    <t>3 vs 12</t>
  </si>
  <si>
    <t>3 vs 5</t>
  </si>
  <si>
    <t>3 vs 7</t>
  </si>
  <si>
    <t>7 vs 8</t>
  </si>
  <si>
    <t>6 vs 8</t>
  </si>
  <si>
    <t>7 vs 13</t>
  </si>
  <si>
    <t>4 vs 6</t>
  </si>
  <si>
    <t>9 vs 11</t>
  </si>
  <si>
    <t>4 vs 15</t>
  </si>
  <si>
    <t>4 vs 14</t>
  </si>
  <si>
    <t>4 vs 8</t>
  </si>
  <si>
    <t>9 vs 10</t>
  </si>
  <si>
    <t>9 vs 12</t>
  </si>
  <si>
    <t>8 vs 15</t>
  </si>
  <si>
    <t>9 vs 13</t>
  </si>
  <si>
    <t>12 vs 15</t>
  </si>
  <si>
    <t>12 vs 14</t>
  </si>
  <si>
    <t>5 vs 14</t>
  </si>
  <si>
    <t>7 vs 11</t>
  </si>
  <si>
    <t>5 vs 12</t>
  </si>
  <si>
    <t>12 vs 13</t>
  </si>
  <si>
    <t>10 vs 13</t>
  </si>
  <si>
    <t>9 vs 14</t>
  </si>
  <si>
    <t>10 vs 14</t>
  </si>
  <si>
    <t>13 vs 14</t>
  </si>
  <si>
    <t>6 vs 13</t>
  </si>
  <si>
    <t>9 vs 15</t>
  </si>
  <si>
    <t>10 vs 15</t>
  </si>
  <si>
    <t>14 vs 15</t>
  </si>
  <si>
    <t>11 vs 14</t>
  </si>
  <si>
    <t>11 vs 12</t>
  </si>
  <si>
    <t>11 vs 15</t>
  </si>
  <si>
    <t>10 vs 12</t>
  </si>
  <si>
    <t>11 vs 13</t>
  </si>
  <si>
    <t>Byes</t>
  </si>
  <si>
    <t>1, 2, 3</t>
  </si>
  <si>
    <t>4, 5, 6</t>
  </si>
  <si>
    <t>7, 8, 9</t>
  </si>
  <si>
    <t>Players</t>
  </si>
  <si>
    <t>Handicaps</t>
  </si>
  <si>
    <t>Tees</t>
  </si>
  <si>
    <t>Paid?</t>
  </si>
  <si>
    <t>Mens</t>
  </si>
  <si>
    <t>Yes - Cash</t>
  </si>
  <si>
    <t>Yes - Venmo</t>
  </si>
  <si>
    <t>Womens</t>
  </si>
  <si>
    <t>Reston National</t>
  </si>
  <si>
    <t>Round 10</t>
  </si>
  <si>
    <t>Round 11</t>
  </si>
  <si>
    <t>Round 12</t>
  </si>
  <si>
    <t>Round 13</t>
  </si>
  <si>
    <t>Round 14</t>
  </si>
  <si>
    <t>Round 15</t>
  </si>
  <si>
    <t>Round 16</t>
  </si>
  <si>
    <t>Round 17</t>
  </si>
  <si>
    <t>Round 18</t>
  </si>
  <si>
    <t>Round 19</t>
  </si>
  <si>
    <t>Round 20</t>
  </si>
  <si>
    <t>Slope</t>
  </si>
  <si>
    <t>Rating</t>
  </si>
  <si>
    <t>USGA Initial</t>
  </si>
  <si>
    <t>Initial</t>
  </si>
  <si>
    <t>Initial Handicap</t>
  </si>
  <si>
    <t>Course Handicap</t>
  </si>
  <si>
    <t>Live Handicap</t>
  </si>
  <si>
    <t>Live Course</t>
  </si>
  <si>
    <t>Rounds Played</t>
  </si>
  <si>
    <t>Gross Score</t>
  </si>
  <si>
    <t>Black</t>
  </si>
  <si>
    <t>Ethan</t>
  </si>
  <si>
    <t>USGA Diff.</t>
  </si>
  <si>
    <t>Blue/White</t>
  </si>
  <si>
    <t># of Score Differentials</t>
  </si>
  <si>
    <t>Handicap Index Calculation</t>
  </si>
  <si>
    <t>Adjustment</t>
  </si>
  <si>
    <t>Lowest differential</t>
  </si>
  <si>
    <t>Average of lowest 2</t>
  </si>
  <si>
    <t>Average of lowest 3</t>
  </si>
  <si>
    <t>Average of lowest 4</t>
  </si>
  <si>
    <t>Average of lowest 5</t>
  </si>
  <si>
    <t>Average of lowest 6</t>
  </si>
  <si>
    <t>Average of lowest 7</t>
  </si>
  <si>
    <t>Average of lowest 8</t>
  </si>
  <si>
    <t>1-5</t>
  </si>
  <si>
    <t>6-8</t>
  </si>
  <si>
    <t>9-11</t>
  </si>
  <si>
    <t>12-14</t>
  </si>
  <si>
    <t>15-16</t>
  </si>
  <si>
    <t>17-18</t>
  </si>
  <si>
    <t>Tiebreakers</t>
  </si>
  <si>
    <t>Average NET Score</t>
  </si>
  <si>
    <t>0-1-0</t>
  </si>
  <si>
    <t>Playoffs</t>
  </si>
  <si>
    <t>NET Score</t>
  </si>
  <si>
    <t>Seed</t>
  </si>
  <si>
    <t>Player</t>
  </si>
  <si>
    <t>Total Score</t>
  </si>
  <si>
    <t>1-0-0</t>
  </si>
  <si>
    <t>Playoff Matchups</t>
  </si>
  <si>
    <t>Winner of each</t>
  </si>
  <si>
    <t>Loser of each</t>
  </si>
  <si>
    <t>Tiebreaker Rules</t>
  </si>
  <si>
    <t>1. Highest overall match wins. A match win means you scored 4.5 points or more against your opponent. 4 points will be considered a draw.</t>
  </si>
  <si>
    <t>2. Lowest average NET score for all 8 matches.</t>
  </si>
  <si>
    <t>3. Lowest Round 8 NET score.</t>
  </si>
  <si>
    <t>4. Coin Flip or however the two parties wish to settle it.</t>
  </si>
  <si>
    <t>Fill in your name, tees, front/back 9, and gross scores in the grey boxes</t>
  </si>
  <si>
    <t>Full Name</t>
  </si>
  <si>
    <t>First Name</t>
  </si>
  <si>
    <t>Last Name</t>
  </si>
  <si>
    <t>Brian Bencal</t>
  </si>
  <si>
    <t>Blue / White</t>
  </si>
  <si>
    <t>Katherine Plasket</t>
  </si>
  <si>
    <t>Oscar Velasquez</t>
  </si>
  <si>
    <t>William Plasket</t>
  </si>
  <si>
    <t>Highland_Creek</t>
  </si>
  <si>
    <t>10 vs. 16</t>
  </si>
  <si>
    <t>3 vs 5, 4 vs 7</t>
  </si>
  <si>
    <t>8 vs 14</t>
  </si>
  <si>
    <t>7 vs 14, 3 vs 4 (makeup)</t>
  </si>
  <si>
    <t>10 v 15 (Make-up)</t>
  </si>
  <si>
    <t>16 vs 17</t>
  </si>
  <si>
    <t>17 vs. 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</si>
</sst>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"/>
    <numFmt numFmtId="166" formatCode="\+0;\-0;0"/>
  </numFmts>
  <fonts count="20" x14ac:knownFonts="1">
    <font>
      <sz val="10"/>
      <name val="Arial"/>
      <family val="2"/>
    </font>
    <font>
      <sz val="10"/>
      <color theme="1"/>
      <name val="Aptos"/>
      <family val="2"/>
    </font>
    <font>
      <sz val="10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10"/>
      <color indexed="10"/>
      <name val="Arial"/>
      <family val="2"/>
    </font>
    <font>
      <sz val="12"/>
      <color rgb="FFFF0000"/>
      <name val="Arial"/>
      <family val="2"/>
    </font>
    <font>
      <sz val="10"/>
      <name val="Arial"/>
      <family val="2"/>
    </font>
    <font>
      <sz val="10"/>
      <color rgb="FF0070C0"/>
      <name val="Arial"/>
      <family val="2"/>
    </font>
    <font>
      <sz val="10"/>
      <color theme="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b/>
      <sz val="10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  <font>
      <sz val="10"/>
      <name val="Aptos"/>
      <family val="2"/>
    </font>
    <font>
      <b/>
      <sz val="14"/>
      <color theme="1"/>
      <name val="Aptos"/>
      <family val="2"/>
    </font>
    <font>
      <b/>
      <sz val="12"/>
      <color theme="1"/>
      <name val="Aptos"/>
      <family val="2"/>
    </font>
    <font>
      <sz val="11"/>
      <name val="Aptos"/>
      <family val="2"/>
    </font>
    <font>
      <b/>
      <sz val="1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0" fillId="0" borderId="1" xfId="0" applyBorder="1" applyAlignment="1">
      <alignment horizontal="center"/>
    </xf>
    <xf numFmtId="16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8" fontId="0" fillId="0" borderId="1" xfId="0" applyNumberFormat="1" applyBorder="1" applyAlignment="1">
      <alignment horizontal="center" vertical="center" wrapText="1"/>
    </xf>
    <xf numFmtId="12" fontId="6" fillId="0" borderId="1" xfId="0" applyNumberFormat="1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0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2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11" fillId="0" borderId="0" xfId="2" applyFont="1" applyAlignment="1">
      <alignment vertical="center"/>
    </xf>
    <xf numFmtId="0" fontId="10" fillId="0" borderId="0" xfId="2" applyAlignment="1">
      <alignment vertical="center"/>
    </xf>
    <xf numFmtId="0" fontId="12" fillId="0" borderId="25" xfId="2" applyFont="1" applyBorder="1" applyAlignment="1">
      <alignment horizontal="center" vertical="center" wrapText="1"/>
    </xf>
    <xf numFmtId="0" fontId="10" fillId="0" borderId="0" xfId="2" applyAlignment="1">
      <alignment vertical="center" wrapText="1"/>
    </xf>
    <xf numFmtId="0" fontId="10" fillId="0" borderId="10" xfId="2" applyBorder="1" applyAlignment="1">
      <alignment horizontal="right" vertical="center"/>
    </xf>
    <xf numFmtId="0" fontId="10" fillId="0" borderId="8" xfId="2" applyBorder="1" applyAlignment="1">
      <alignment horizontal="center" vertical="center"/>
    </xf>
    <xf numFmtId="0" fontId="2" fillId="0" borderId="1" xfId="2" applyFont="1" applyBorder="1" applyAlignment="1">
      <alignment vertical="center"/>
    </xf>
    <xf numFmtId="0" fontId="10" fillId="5" borderId="1" xfId="2" applyFill="1" applyBorder="1" applyAlignment="1">
      <alignment vertical="center"/>
    </xf>
    <xf numFmtId="165" fontId="10" fillId="0" borderId="1" xfId="2" applyNumberFormat="1" applyBorder="1" applyAlignment="1">
      <alignment horizontal="center" vertical="center"/>
    </xf>
    <xf numFmtId="0" fontId="12" fillId="0" borderId="30" xfId="2" applyFont="1" applyBorder="1" applyAlignment="1">
      <alignment horizontal="center" vertical="center"/>
    </xf>
    <xf numFmtId="0" fontId="10" fillId="0" borderId="30" xfId="2" applyBorder="1" applyAlignment="1">
      <alignment horizontal="right" vertical="center"/>
    </xf>
    <xf numFmtId="0" fontId="12" fillId="0" borderId="31" xfId="2" applyFont="1" applyBorder="1" applyAlignment="1">
      <alignment horizontal="center" vertical="center"/>
    </xf>
    <xf numFmtId="0" fontId="10" fillId="0" borderId="28" xfId="2" applyBorder="1" applyAlignment="1">
      <alignment horizontal="right" vertical="center"/>
    </xf>
    <xf numFmtId="0" fontId="10" fillId="0" borderId="32" xfId="2" applyBorder="1" applyAlignment="1">
      <alignment horizontal="center" vertical="center"/>
    </xf>
    <xf numFmtId="0" fontId="10" fillId="0" borderId="0" xfId="2" applyAlignment="1">
      <alignment horizontal="center" vertical="center"/>
    </xf>
    <xf numFmtId="0" fontId="10" fillId="0" borderId="0" xfId="2" applyAlignment="1">
      <alignment horizontal="right" vertical="center"/>
    </xf>
    <xf numFmtId="0" fontId="10" fillId="4" borderId="0" xfId="2" applyFill="1" applyAlignment="1">
      <alignment horizontal="center" vertical="center"/>
    </xf>
    <xf numFmtId="0" fontId="14" fillId="0" borderId="8" xfId="2" applyFont="1" applyBorder="1" applyAlignment="1">
      <alignment horizontal="left" vertical="center"/>
    </xf>
    <xf numFmtId="0" fontId="14" fillId="0" borderId="10" xfId="2" applyFont="1" applyBorder="1" applyAlignment="1">
      <alignment horizontal="center" vertical="center"/>
    </xf>
    <xf numFmtId="0" fontId="14" fillId="0" borderId="27" xfId="2" applyFont="1" applyBorder="1" applyAlignment="1">
      <alignment horizontal="center" vertical="center"/>
    </xf>
    <xf numFmtId="0" fontId="14" fillId="0" borderId="26" xfId="2" applyFont="1" applyBorder="1" applyAlignment="1">
      <alignment horizontal="center" vertical="center"/>
    </xf>
    <xf numFmtId="0" fontId="10" fillId="0" borderId="32" xfId="2" applyBorder="1" applyAlignment="1">
      <alignment vertical="center"/>
    </xf>
    <xf numFmtId="0" fontId="10" fillId="0" borderId="28" xfId="2" applyBorder="1" applyAlignment="1">
      <alignment horizontal="center" vertical="center"/>
    </xf>
    <xf numFmtId="0" fontId="10" fillId="0" borderId="29" xfId="2" applyBorder="1" applyAlignment="1">
      <alignment horizontal="center" vertical="center"/>
    </xf>
    <xf numFmtId="0" fontId="14" fillId="0" borderId="32" xfId="2" applyFont="1" applyBorder="1" applyAlignment="1">
      <alignment vertical="center"/>
    </xf>
    <xf numFmtId="166" fontId="10" fillId="0" borderId="0" xfId="2" applyNumberFormat="1" applyAlignment="1">
      <alignment horizontal="center" vertical="center"/>
    </xf>
    <xf numFmtId="165" fontId="2" fillId="0" borderId="1" xfId="2" applyNumberFormat="1" applyFont="1" applyBorder="1" applyAlignment="1">
      <alignment horizontal="center" vertical="center"/>
    </xf>
    <xf numFmtId="0" fontId="12" fillId="0" borderId="31" xfId="2" applyFont="1" applyBorder="1" applyAlignment="1">
      <alignment vertical="center"/>
    </xf>
    <xf numFmtId="0" fontId="12" fillId="0" borderId="9" xfId="2" applyFont="1" applyBorder="1" applyAlignment="1">
      <alignment horizontal="center" vertical="center"/>
    </xf>
    <xf numFmtId="0" fontId="12" fillId="0" borderId="33" xfId="2" applyFont="1" applyBorder="1" applyAlignment="1">
      <alignment horizontal="center" vertical="center"/>
    </xf>
    <xf numFmtId="0" fontId="0" fillId="0" borderId="1" xfId="0" applyBorder="1"/>
    <xf numFmtId="0" fontId="0" fillId="0" borderId="36" xfId="0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0" fillId="0" borderId="15" xfId="0" applyBorder="1"/>
    <xf numFmtId="0" fontId="0" fillId="0" borderId="20" xfId="0" applyBorder="1" applyAlignment="1">
      <alignment horizontal="center" vertical="center"/>
    </xf>
    <xf numFmtId="0" fontId="0" fillId="0" borderId="3" xfId="0" applyBorder="1"/>
    <xf numFmtId="0" fontId="0" fillId="0" borderId="12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0" fontId="0" fillId="0" borderId="39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0" fillId="0" borderId="0" xfId="0" quotePrefix="1"/>
    <xf numFmtId="0" fontId="4" fillId="0" borderId="44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/>
    <xf numFmtId="0" fontId="0" fillId="0" borderId="0" xfId="0" applyAlignment="1">
      <alignment horizontal="right"/>
    </xf>
    <xf numFmtId="0" fontId="2" fillId="0" borderId="1" xfId="2" applyFont="1" applyBorder="1" applyAlignment="1">
      <alignment horizontal="left" vertical="center"/>
    </xf>
    <xf numFmtId="165" fontId="15" fillId="0" borderId="1" xfId="2" applyNumberFormat="1" applyFont="1" applyBorder="1" applyAlignment="1">
      <alignment horizontal="center" vertical="center"/>
    </xf>
    <xf numFmtId="0" fontId="2" fillId="0" borderId="1" xfId="2" applyFont="1" applyBorder="1" applyAlignment="1">
      <alignment horizontal="center" vertical="center"/>
    </xf>
    <xf numFmtId="0" fontId="2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0" fontId="16" fillId="4" borderId="0" xfId="2" applyFont="1" applyFill="1" applyAlignment="1">
      <alignment horizontal="center" vertical="center"/>
    </xf>
    <xf numFmtId="0" fontId="10" fillId="0" borderId="1" xfId="2" applyBorder="1" applyAlignment="1">
      <alignment horizontal="center" vertical="center"/>
    </xf>
    <xf numFmtId="0" fontId="10" fillId="0" borderId="1" xfId="2" applyBorder="1" applyAlignment="1">
      <alignment vertical="center"/>
    </xf>
    <xf numFmtId="0" fontId="1" fillId="0" borderId="1" xfId="2" applyFont="1" applyBorder="1" applyAlignment="1">
      <alignment horizontal="center" vertical="center"/>
    </xf>
    <xf numFmtId="0" fontId="1" fillId="0" borderId="28" xfId="2" applyFont="1" applyBorder="1" applyAlignment="1">
      <alignment horizontal="center" vertical="center"/>
    </xf>
    <xf numFmtId="0" fontId="1" fillId="0" borderId="0" xfId="2" applyFont="1" applyAlignment="1">
      <alignment horizontal="center" vertical="center"/>
    </xf>
    <xf numFmtId="0" fontId="1" fillId="0" borderId="29" xfId="2" applyFont="1" applyBorder="1" applyAlignment="1">
      <alignment horizontal="center" vertical="center"/>
    </xf>
    <xf numFmtId="0" fontId="11" fillId="0" borderId="0" xfId="3" applyFont="1" applyAlignment="1">
      <alignment vertical="center"/>
    </xf>
    <xf numFmtId="0" fontId="1" fillId="0" borderId="0" xfId="3" applyFont="1" applyAlignment="1">
      <alignment vertical="center"/>
    </xf>
    <xf numFmtId="0" fontId="12" fillId="0" borderId="25" xfId="3" applyFont="1" applyBorder="1" applyAlignment="1">
      <alignment horizontal="center" vertical="center" wrapText="1"/>
    </xf>
    <xf numFmtId="0" fontId="1" fillId="0" borderId="0" xfId="3" applyFont="1" applyAlignment="1">
      <alignment vertical="center" wrapText="1"/>
    </xf>
    <xf numFmtId="0" fontId="1" fillId="0" borderId="10" xfId="3" applyFont="1" applyBorder="1" applyAlignment="1">
      <alignment horizontal="right" vertical="center"/>
    </xf>
    <xf numFmtId="0" fontId="1" fillId="0" borderId="8" xfId="3" applyFont="1" applyBorder="1" applyAlignment="1">
      <alignment horizontal="center" vertical="center"/>
    </xf>
    <xf numFmtId="0" fontId="1" fillId="0" borderId="1" xfId="3" applyFont="1" applyBorder="1" applyAlignment="1">
      <alignment horizontal="center"/>
    </xf>
    <xf numFmtId="0" fontId="2" fillId="0" borderId="1" xfId="3" applyFont="1" applyBorder="1" applyAlignment="1">
      <alignment vertical="center"/>
    </xf>
    <xf numFmtId="0" fontId="12" fillId="0" borderId="30" xfId="3" applyFont="1" applyBorder="1" applyAlignment="1">
      <alignment horizontal="center" vertical="center"/>
    </xf>
    <xf numFmtId="0" fontId="1" fillId="0" borderId="30" xfId="3" applyFont="1" applyBorder="1" applyAlignment="1">
      <alignment horizontal="right" vertical="center"/>
    </xf>
    <xf numFmtId="0" fontId="12" fillId="0" borderId="31" xfId="3" applyFont="1" applyBorder="1" applyAlignment="1">
      <alignment horizontal="center" vertical="center"/>
    </xf>
    <xf numFmtId="0" fontId="1" fillId="0" borderId="28" xfId="3" applyFont="1" applyBorder="1" applyAlignment="1">
      <alignment horizontal="right" vertical="center"/>
    </xf>
    <xf numFmtId="0" fontId="1" fillId="0" borderId="32" xfId="3" applyFont="1" applyBorder="1" applyAlignment="1">
      <alignment horizontal="center" vertical="center"/>
    </xf>
    <xf numFmtId="0" fontId="1" fillId="0" borderId="0" xfId="3" applyFont="1" applyAlignment="1">
      <alignment horizontal="center" vertical="center"/>
    </xf>
    <xf numFmtId="0" fontId="1" fillId="0" borderId="0" xfId="3" applyFont="1" applyAlignment="1">
      <alignment horizontal="right" vertical="center"/>
    </xf>
    <xf numFmtId="0" fontId="14" fillId="0" borderId="8" xfId="3" applyFont="1" applyBorder="1" applyAlignment="1">
      <alignment horizontal="left" vertical="center"/>
    </xf>
    <xf numFmtId="0" fontId="14" fillId="0" borderId="10" xfId="3" applyFont="1" applyBorder="1" applyAlignment="1">
      <alignment horizontal="center" vertical="center"/>
    </xf>
    <xf numFmtId="0" fontId="14" fillId="0" borderId="27" xfId="3" applyFont="1" applyBorder="1" applyAlignment="1">
      <alignment horizontal="center" vertical="center"/>
    </xf>
    <xf numFmtId="0" fontId="14" fillId="0" borderId="26" xfId="3" applyFont="1" applyBorder="1" applyAlignment="1">
      <alignment horizontal="center" vertical="center"/>
    </xf>
    <xf numFmtId="0" fontId="1" fillId="0" borderId="32" xfId="3" applyFont="1" applyBorder="1" applyAlignment="1">
      <alignment vertical="center"/>
    </xf>
    <xf numFmtId="0" fontId="1" fillId="0" borderId="28" xfId="3" applyFont="1" applyBorder="1" applyAlignment="1">
      <alignment horizontal="center" vertical="center"/>
    </xf>
    <xf numFmtId="0" fontId="1" fillId="0" borderId="29" xfId="3" applyFont="1" applyBorder="1" applyAlignment="1">
      <alignment horizontal="center" vertical="center"/>
    </xf>
    <xf numFmtId="0" fontId="14" fillId="0" borderId="32" xfId="3" applyFont="1" applyBorder="1" applyAlignment="1">
      <alignment vertical="center"/>
    </xf>
    <xf numFmtId="166" fontId="1" fillId="0" borderId="0" xfId="3" applyNumberFormat="1" applyFont="1" applyAlignment="1">
      <alignment horizontal="center" vertical="center"/>
    </xf>
    <xf numFmtId="0" fontId="12" fillId="0" borderId="31" xfId="3" applyFont="1" applyBorder="1" applyAlignment="1">
      <alignment vertical="center"/>
    </xf>
    <xf numFmtId="0" fontId="12" fillId="0" borderId="9" xfId="3" applyFont="1" applyBorder="1" applyAlignment="1">
      <alignment horizontal="center" vertical="center"/>
    </xf>
    <xf numFmtId="0" fontId="12" fillId="0" borderId="33" xfId="3" applyFont="1" applyBorder="1" applyAlignment="1">
      <alignment horizontal="center" vertical="center"/>
    </xf>
    <xf numFmtId="0" fontId="12" fillId="0" borderId="0" xfId="3" applyFont="1" applyAlignment="1">
      <alignment horizontal="center"/>
    </xf>
    <xf numFmtId="0" fontId="1" fillId="0" borderId="0" xfId="3" applyFont="1" applyAlignment="1">
      <alignment horizontal="center"/>
    </xf>
    <xf numFmtId="0" fontId="17" fillId="4" borderId="0" xfId="3" applyFont="1" applyFill="1" applyAlignment="1" applyProtection="1">
      <alignment horizontal="center" vertical="center"/>
      <protection locked="0"/>
    </xf>
    <xf numFmtId="0" fontId="14" fillId="4" borderId="28" xfId="3" applyFont="1" applyFill="1" applyBorder="1" applyAlignment="1" applyProtection="1">
      <alignment horizontal="center" vertical="center"/>
      <protection locked="0"/>
    </xf>
    <xf numFmtId="0" fontId="14" fillId="4" borderId="0" xfId="3" applyFont="1" applyFill="1" applyAlignment="1" applyProtection="1">
      <alignment horizontal="center" vertical="center"/>
      <protection locked="0"/>
    </xf>
    <xf numFmtId="0" fontId="14" fillId="4" borderId="29" xfId="3" applyFont="1" applyFill="1" applyBorder="1" applyAlignment="1" applyProtection="1">
      <alignment horizontal="center" vertical="center"/>
      <protection locked="0"/>
    </xf>
    <xf numFmtId="0" fontId="1" fillId="4" borderId="0" xfId="3" applyFont="1" applyFill="1" applyAlignment="1" applyProtection="1">
      <alignment horizontal="center" vertical="center"/>
      <protection locked="0"/>
    </xf>
    <xf numFmtId="16" fontId="0" fillId="0" borderId="0" xfId="0" applyNumberFormat="1" applyAlignment="1">
      <alignment horizontal="left" vertical="center"/>
    </xf>
    <xf numFmtId="0" fontId="4" fillId="0" borderId="45" xfId="0" applyFont="1" applyBorder="1" applyAlignment="1">
      <alignment horizontal="center" vertical="center" wrapText="1"/>
    </xf>
    <xf numFmtId="0" fontId="0" fillId="3" borderId="38" xfId="0" applyFill="1" applyBorder="1" applyAlignment="1">
      <alignment horizontal="center" vertical="center"/>
    </xf>
    <xf numFmtId="165" fontId="2" fillId="0" borderId="1" xfId="3" applyNumberFormat="1" applyFont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" fillId="5" borderId="0" xfId="3" applyFont="1" applyFill="1" applyAlignment="1">
      <alignment horizontal="center" vertical="center"/>
    </xf>
    <xf numFmtId="0" fontId="0" fillId="5" borderId="0" xfId="0" applyFill="1"/>
    <xf numFmtId="0" fontId="0" fillId="2" borderId="4" xfId="0" applyFill="1" applyBorder="1" applyAlignment="1">
      <alignment horizontal="center"/>
    </xf>
    <xf numFmtId="0" fontId="0" fillId="2" borderId="1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1" fillId="4" borderId="0" xfId="3" applyFont="1" applyFill="1" applyAlignment="1">
      <alignment vertical="center"/>
    </xf>
    <xf numFmtId="0" fontId="1" fillId="4" borderId="0" xfId="3" applyFont="1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6" fontId="4" fillId="0" borderId="51" xfId="0" applyNumberFormat="1" applyFont="1" applyBorder="1" applyAlignment="1">
      <alignment horizontal="center" vertical="center"/>
    </xf>
    <xf numFmtId="0" fontId="0" fillId="6" borderId="0" xfId="0" applyFill="1"/>
    <xf numFmtId="0" fontId="17" fillId="5" borderId="19" xfId="3" applyFont="1" applyFill="1" applyBorder="1" applyAlignment="1">
      <alignment horizontal="center" vertical="center" wrapText="1"/>
    </xf>
    <xf numFmtId="0" fontId="0" fillId="0" borderId="19" xfId="0" applyBorder="1"/>
    <xf numFmtId="0" fontId="1" fillId="0" borderId="0" xfId="3" applyFont="1" applyAlignment="1">
      <alignment horizontal="center" vertical="center"/>
    </xf>
    <xf numFmtId="0" fontId="1" fillId="0" borderId="0" xfId="3" applyFont="1" applyAlignment="1">
      <alignment vertical="center"/>
    </xf>
    <xf numFmtId="0" fontId="13" fillId="5" borderId="25" xfId="3" applyFont="1" applyFill="1" applyBorder="1" applyAlignment="1">
      <alignment horizontal="center" vertical="center"/>
    </xf>
    <xf numFmtId="0" fontId="0" fillId="0" borderId="26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3" xfId="0" applyBorder="1"/>
    <xf numFmtId="0" fontId="17" fillId="5" borderId="25" xfId="3" applyFont="1" applyFill="1" applyBorder="1" applyAlignment="1">
      <alignment horizontal="center" vertical="center" wrapText="1"/>
    </xf>
    <xf numFmtId="0" fontId="12" fillId="0" borderId="17" xfId="3" applyFont="1" applyBorder="1" applyAlignment="1">
      <alignment horizontal="center" vertical="center"/>
    </xf>
    <xf numFmtId="0" fontId="1" fillId="0" borderId="9" xfId="3" applyFont="1" applyBorder="1" applyAlignment="1">
      <alignment horizontal="center" vertical="center"/>
    </xf>
    <xf numFmtId="0" fontId="0" fillId="0" borderId="9" xfId="0" applyBorder="1"/>
    <xf numFmtId="0" fontId="13" fillId="5" borderId="19" xfId="3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0" fillId="0" borderId="2" xfId="0" applyBorder="1"/>
    <xf numFmtId="0" fontId="3" fillId="0" borderId="2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38" xfId="0" applyBorder="1" applyAlignment="1">
      <alignment horizontal="center" vertical="center"/>
    </xf>
    <xf numFmtId="0" fontId="0" fillId="0" borderId="41" xfId="0" applyBorder="1"/>
    <xf numFmtId="0" fontId="0" fillId="0" borderId="35" xfId="0" applyBorder="1"/>
    <xf numFmtId="2" fontId="0" fillId="0" borderId="38" xfId="0" applyNumberFormat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2" xfId="0" applyBorder="1"/>
    <xf numFmtId="0" fontId="0" fillId="0" borderId="36" xfId="0" applyBorder="1"/>
    <xf numFmtId="0" fontId="0" fillId="0" borderId="37" xfId="0" applyBorder="1" applyAlignment="1">
      <alignment horizontal="center" vertical="center"/>
    </xf>
    <xf numFmtId="0" fontId="0" fillId="0" borderId="40" xfId="0" applyBorder="1"/>
    <xf numFmtId="0" fontId="0" fillId="0" borderId="34" xfId="0" applyBorder="1"/>
    <xf numFmtId="0" fontId="0" fillId="4" borderId="38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0" fillId="0" borderId="46" xfId="0" applyBorder="1"/>
    <xf numFmtId="165" fontId="0" fillId="0" borderId="12" xfId="0" applyNumberFormat="1" applyBorder="1" applyAlignment="1">
      <alignment horizontal="center" vertical="center"/>
    </xf>
    <xf numFmtId="0" fontId="0" fillId="0" borderId="49" xfId="0" applyBorder="1"/>
    <xf numFmtId="0" fontId="4" fillId="2" borderId="25" xfId="0" applyFont="1" applyFill="1" applyBorder="1" applyAlignment="1">
      <alignment horizontal="left" vertical="center"/>
    </xf>
    <xf numFmtId="0" fontId="0" fillId="0" borderId="31" xfId="0" applyBorder="1"/>
    <xf numFmtId="0" fontId="4" fillId="2" borderId="4" xfId="0" applyFont="1" applyFill="1" applyBorder="1" applyAlignment="1">
      <alignment horizontal="left" vertical="center"/>
    </xf>
    <xf numFmtId="0" fontId="0" fillId="0" borderId="50" xfId="0" applyBorder="1"/>
    <xf numFmtId="0" fontId="0" fillId="0" borderId="3" xfId="0" applyBorder="1" applyAlignment="1">
      <alignment horizontal="center" vertical="center"/>
    </xf>
    <xf numFmtId="0" fontId="0" fillId="0" borderId="48" xfId="0" applyBorder="1"/>
    <xf numFmtId="0" fontId="0" fillId="2" borderId="3" xfId="0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47" xfId="0" applyBorder="1"/>
    <xf numFmtId="0" fontId="4" fillId="0" borderId="20" xfId="0" applyFont="1" applyBorder="1" applyAlignment="1">
      <alignment horizontal="center" vertical="center"/>
    </xf>
    <xf numFmtId="0" fontId="0" fillId="0" borderId="11" xfId="0" applyBorder="1"/>
    <xf numFmtId="0" fontId="4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165" fontId="0" fillId="2" borderId="12" xfId="0" applyNumberFormat="1" applyFill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0" fillId="0" borderId="18" xfId="0" applyBorder="1"/>
    <xf numFmtId="0" fontId="17" fillId="5" borderId="19" xfId="2" applyFont="1" applyFill="1" applyBorder="1" applyAlignment="1">
      <alignment horizontal="center" vertical="center" wrapText="1"/>
    </xf>
    <xf numFmtId="0" fontId="10" fillId="0" borderId="0" xfId="2" applyAlignment="1">
      <alignment horizontal="center" vertical="center"/>
    </xf>
    <xf numFmtId="0" fontId="10" fillId="0" borderId="0" xfId="2" applyAlignment="1">
      <alignment vertical="center"/>
    </xf>
    <xf numFmtId="0" fontId="13" fillId="5" borderId="25" xfId="2" applyFont="1" applyFill="1" applyBorder="1" applyAlignment="1">
      <alignment horizontal="center" vertical="center"/>
    </xf>
    <xf numFmtId="0" fontId="17" fillId="5" borderId="25" xfId="2" applyFont="1" applyFill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/>
    </xf>
    <xf numFmtId="0" fontId="13" fillId="5" borderId="19" xfId="2" applyFont="1" applyFill="1" applyBorder="1" applyAlignment="1">
      <alignment horizontal="center" vertical="center"/>
    </xf>
    <xf numFmtId="0" fontId="10" fillId="0" borderId="9" xfId="2" applyBorder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3" xfId="2" xr:uid="{00000000-0005-0000-0000-000002000000}"/>
    <cellStyle name="Normal 3 2" xfId="3" xr:uid="{00000000-0005-0000-0000-000003000000}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0"/>
  <sheetViews>
    <sheetView zoomScaleNormal="100" workbookViewId="0">
      <selection activeCell="H28" sqref="H28"/>
    </sheetView>
  </sheetViews>
  <sheetFormatPr defaultColWidth="9.140625" defaultRowHeight="12.75" x14ac:dyDescent="0.2"/>
  <cols>
    <col min="1" max="1" width="3.140625" style="12" customWidth="1"/>
    <col min="2" max="2" width="18" style="12" bestFit="1" customWidth="1"/>
    <col min="3" max="3" width="12.140625" style="12" bestFit="1" customWidth="1"/>
    <col min="4" max="11" width="9.140625" style="12" customWidth="1"/>
    <col min="12" max="13" width="11.5703125" style="12" customWidth="1"/>
    <col min="14" max="20" width="9.140625" style="12" customWidth="1"/>
    <col min="21" max="16384" width="9.140625" style="12"/>
  </cols>
  <sheetData>
    <row r="1" spans="1:14" ht="13.5" customHeight="1" thickBot="1" x14ac:dyDescent="0.25">
      <c r="M1" s="27" t="s">
        <v>47</v>
      </c>
      <c r="N1" s="21"/>
    </row>
    <row r="2" spans="1:14" ht="41.45" customHeight="1" thickBot="1" x14ac:dyDescent="0.25">
      <c r="B2" s="20" t="s">
        <v>18</v>
      </c>
      <c r="C2" s="22"/>
      <c r="D2" s="19" t="s">
        <v>48</v>
      </c>
      <c r="E2" s="18" t="s">
        <v>49</v>
      </c>
      <c r="F2" s="18" t="s">
        <v>50</v>
      </c>
      <c r="G2" s="18" t="s">
        <v>51</v>
      </c>
      <c r="H2" s="18" t="s">
        <v>52</v>
      </c>
      <c r="I2" s="18" t="s">
        <v>53</v>
      </c>
      <c r="J2" s="18" t="s">
        <v>54</v>
      </c>
      <c r="K2" s="17" t="s">
        <v>55</v>
      </c>
      <c r="L2" s="16" t="s">
        <v>56</v>
      </c>
      <c r="M2" s="15" t="s">
        <v>57</v>
      </c>
    </row>
    <row r="3" spans="1:14" ht="12.95" customHeight="1" thickBot="1" x14ac:dyDescent="0.25">
      <c r="A3" s="12">
        <v>1</v>
      </c>
      <c r="B3" s="25" t="s">
        <v>58</v>
      </c>
      <c r="C3" s="24" t="s">
        <v>59</v>
      </c>
      <c r="D3" s="23">
        <v>8</v>
      </c>
      <c r="E3" s="14">
        <v>3.5</v>
      </c>
      <c r="F3" s="14">
        <v>4.5</v>
      </c>
      <c r="G3" s="14">
        <v>7</v>
      </c>
      <c r="H3" s="14">
        <v>6</v>
      </c>
      <c r="I3" s="14"/>
      <c r="J3" s="14"/>
      <c r="K3" s="14"/>
      <c r="L3" s="26">
        <f t="shared" ref="L3:L20" si="0">SUM(D3:K3)</f>
        <v>29</v>
      </c>
      <c r="M3" s="13" t="str">
        <f t="shared" ref="M3:M20" si="1">COUNTIF(D3:K3,"&gt;=4.5")&amp;"-"&amp;COUNTIF(D3:K3,"&lt;4")&amp;"-"&amp;COUNTIF(D3:K3,"=4")</f>
        <v>4-1-0</v>
      </c>
    </row>
    <row r="4" spans="1:14" ht="12.95" customHeight="1" thickBot="1" x14ac:dyDescent="0.25">
      <c r="A4" s="12">
        <v>2</v>
      </c>
      <c r="B4" s="25" t="s">
        <v>60</v>
      </c>
      <c r="C4" s="24" t="s">
        <v>59</v>
      </c>
      <c r="D4" s="23">
        <v>0</v>
      </c>
      <c r="E4" s="14">
        <v>2</v>
      </c>
      <c r="F4" s="14">
        <v>7</v>
      </c>
      <c r="G4" s="14">
        <v>2</v>
      </c>
      <c r="H4" s="14">
        <v>0</v>
      </c>
      <c r="I4" s="14"/>
      <c r="J4" s="14"/>
      <c r="K4" s="14"/>
      <c r="L4" s="26">
        <f t="shared" si="0"/>
        <v>11</v>
      </c>
      <c r="M4" s="13" t="str">
        <f t="shared" si="1"/>
        <v>1-4-0</v>
      </c>
    </row>
    <row r="5" spans="1:14" ht="12.95" customHeight="1" thickBot="1" x14ac:dyDescent="0.25">
      <c r="A5" s="12">
        <v>3</v>
      </c>
      <c r="B5" s="25" t="s">
        <v>61</v>
      </c>
      <c r="C5" s="24" t="s">
        <v>59</v>
      </c>
      <c r="D5" s="23"/>
      <c r="E5" s="14">
        <v>4.5</v>
      </c>
      <c r="F5" s="14">
        <v>1</v>
      </c>
      <c r="G5" s="14">
        <v>3</v>
      </c>
      <c r="H5" s="14">
        <v>3.5</v>
      </c>
      <c r="I5" s="14">
        <v>7</v>
      </c>
      <c r="J5" s="14"/>
      <c r="K5" s="14"/>
      <c r="L5" s="26">
        <f t="shared" si="0"/>
        <v>19</v>
      </c>
      <c r="M5" s="13" t="str">
        <f t="shared" si="1"/>
        <v>2-3-0</v>
      </c>
    </row>
    <row r="6" spans="1:14" ht="12.95" customHeight="1" thickBot="1" x14ac:dyDescent="0.25">
      <c r="A6" s="12">
        <v>4</v>
      </c>
      <c r="B6" s="25" t="s">
        <v>62</v>
      </c>
      <c r="C6" s="24" t="s">
        <v>59</v>
      </c>
      <c r="D6" s="23"/>
      <c r="E6" s="14">
        <v>6</v>
      </c>
      <c r="F6" s="14">
        <v>3.5</v>
      </c>
      <c r="G6" s="14">
        <v>5</v>
      </c>
      <c r="H6" s="14">
        <v>8</v>
      </c>
      <c r="I6" s="14"/>
      <c r="J6" s="14"/>
      <c r="K6" s="14"/>
      <c r="L6" s="26">
        <f t="shared" si="0"/>
        <v>22.5</v>
      </c>
      <c r="M6" s="13" t="str">
        <f t="shared" si="1"/>
        <v>3-1-0</v>
      </c>
    </row>
    <row r="7" spans="1:14" ht="12.95" customHeight="1" thickBot="1" x14ac:dyDescent="0.25">
      <c r="A7" s="12">
        <v>5</v>
      </c>
      <c r="B7" s="25" t="s">
        <v>63</v>
      </c>
      <c r="C7" s="24" t="s">
        <v>59</v>
      </c>
      <c r="D7" s="23">
        <v>6</v>
      </c>
      <c r="E7" s="14">
        <v>6</v>
      </c>
      <c r="F7" s="14">
        <v>4</v>
      </c>
      <c r="G7" s="14">
        <v>1</v>
      </c>
      <c r="H7" s="14">
        <v>8</v>
      </c>
      <c r="I7" s="14">
        <v>1</v>
      </c>
      <c r="J7" s="14"/>
      <c r="K7" s="14"/>
      <c r="L7" s="26">
        <f t="shared" si="0"/>
        <v>26</v>
      </c>
      <c r="M7" s="13" t="str">
        <f t="shared" si="1"/>
        <v>3-2-1</v>
      </c>
    </row>
    <row r="8" spans="1:14" ht="12.95" customHeight="1" thickBot="1" x14ac:dyDescent="0.25">
      <c r="A8" s="12">
        <v>6</v>
      </c>
      <c r="B8" s="25" t="s">
        <v>64</v>
      </c>
      <c r="C8" s="24" t="s">
        <v>59</v>
      </c>
      <c r="D8" s="23">
        <v>2</v>
      </c>
      <c r="E8" s="14">
        <v>2</v>
      </c>
      <c r="F8" s="14">
        <v>1</v>
      </c>
      <c r="G8" s="14">
        <v>3</v>
      </c>
      <c r="H8" s="14">
        <v>2</v>
      </c>
      <c r="I8" s="14"/>
      <c r="J8" s="14"/>
      <c r="K8" s="14"/>
      <c r="L8" s="26">
        <f t="shared" si="0"/>
        <v>10</v>
      </c>
      <c r="M8" s="13" t="str">
        <f t="shared" si="1"/>
        <v>0-5-0</v>
      </c>
    </row>
    <row r="9" spans="1:14" ht="12.95" customHeight="1" thickBot="1" x14ac:dyDescent="0.25">
      <c r="A9" s="12">
        <v>7</v>
      </c>
      <c r="B9" s="25" t="s">
        <v>24</v>
      </c>
      <c r="C9" s="24" t="s">
        <v>59</v>
      </c>
      <c r="D9" s="23">
        <v>2.5</v>
      </c>
      <c r="E9" s="14">
        <v>2</v>
      </c>
      <c r="F9" s="14">
        <v>7</v>
      </c>
      <c r="G9" s="14">
        <v>6</v>
      </c>
      <c r="H9" s="14"/>
      <c r="I9" s="14"/>
      <c r="J9" s="14"/>
      <c r="K9" s="14"/>
      <c r="L9" s="26">
        <f t="shared" si="0"/>
        <v>17.5</v>
      </c>
      <c r="M9" s="13" t="str">
        <f t="shared" si="1"/>
        <v>2-2-0</v>
      </c>
    </row>
    <row r="10" spans="1:14" ht="12.95" customHeight="1" thickBot="1" x14ac:dyDescent="0.25">
      <c r="A10" s="12">
        <v>8</v>
      </c>
      <c r="B10" s="25" t="s">
        <v>65</v>
      </c>
      <c r="C10" s="24" t="s">
        <v>59</v>
      </c>
      <c r="D10" s="23">
        <v>5.5</v>
      </c>
      <c r="E10" s="14">
        <v>6</v>
      </c>
      <c r="F10" s="14">
        <v>4</v>
      </c>
      <c r="G10" s="14">
        <v>6</v>
      </c>
      <c r="H10" s="14"/>
      <c r="I10" s="14">
        <v>2</v>
      </c>
      <c r="J10" s="14"/>
      <c r="K10" s="14"/>
      <c r="L10" s="26">
        <f t="shared" si="0"/>
        <v>23.5</v>
      </c>
      <c r="M10" s="13" t="str">
        <f t="shared" si="1"/>
        <v>3-1-1</v>
      </c>
    </row>
    <row r="11" spans="1:14" ht="12.95" customHeight="1" thickBot="1" x14ac:dyDescent="0.25">
      <c r="A11" s="12">
        <v>9</v>
      </c>
      <c r="B11" s="25" t="s">
        <v>66</v>
      </c>
      <c r="C11" s="24" t="s">
        <v>59</v>
      </c>
      <c r="D11" s="23">
        <v>5</v>
      </c>
      <c r="E11" s="14">
        <v>6</v>
      </c>
      <c r="F11" s="14">
        <v>6</v>
      </c>
      <c r="G11" s="14">
        <v>6</v>
      </c>
      <c r="H11" s="14">
        <v>5</v>
      </c>
      <c r="I11" s="14"/>
      <c r="J11" s="14"/>
      <c r="K11" s="14"/>
      <c r="L11" s="26">
        <f t="shared" si="0"/>
        <v>28</v>
      </c>
      <c r="M11" s="13" t="str">
        <f t="shared" si="1"/>
        <v>5-0-0</v>
      </c>
    </row>
    <row r="12" spans="1:14" ht="12.95" customHeight="1" thickBot="1" x14ac:dyDescent="0.25">
      <c r="A12" s="12">
        <v>10</v>
      </c>
      <c r="B12" s="25" t="s">
        <v>67</v>
      </c>
      <c r="C12" s="24" t="s">
        <v>59</v>
      </c>
      <c r="D12" s="23">
        <v>3</v>
      </c>
      <c r="E12" s="14">
        <v>1</v>
      </c>
      <c r="F12" s="14">
        <v>1</v>
      </c>
      <c r="G12" s="14">
        <v>5</v>
      </c>
      <c r="H12" s="14">
        <v>4</v>
      </c>
      <c r="I12" s="14">
        <v>3</v>
      </c>
      <c r="J12" s="14"/>
      <c r="K12" s="14"/>
      <c r="L12" s="26">
        <f t="shared" si="0"/>
        <v>17</v>
      </c>
      <c r="M12" s="13" t="str">
        <f t="shared" si="1"/>
        <v>1-4-1</v>
      </c>
    </row>
    <row r="13" spans="1:14" ht="12.95" customHeight="1" thickBot="1" x14ac:dyDescent="0.25">
      <c r="A13" s="12">
        <v>11</v>
      </c>
      <c r="B13" s="25" t="s">
        <v>68</v>
      </c>
      <c r="C13" s="24" t="s">
        <v>59</v>
      </c>
      <c r="D13" s="23">
        <v>2</v>
      </c>
      <c r="E13" s="14">
        <v>2</v>
      </c>
      <c r="F13" s="14">
        <v>7</v>
      </c>
      <c r="G13" s="14">
        <v>5</v>
      </c>
      <c r="H13" s="14"/>
      <c r="I13" s="14"/>
      <c r="J13" s="14"/>
      <c r="K13" s="14"/>
      <c r="L13" s="26">
        <f t="shared" si="0"/>
        <v>16</v>
      </c>
      <c r="M13" s="13" t="str">
        <f t="shared" si="1"/>
        <v>2-2-0</v>
      </c>
    </row>
    <row r="14" spans="1:14" ht="12.95" customHeight="1" thickBot="1" x14ac:dyDescent="0.25">
      <c r="A14" s="12">
        <v>12</v>
      </c>
      <c r="B14" s="25" t="s">
        <v>69</v>
      </c>
      <c r="C14" s="24" t="s">
        <v>59</v>
      </c>
      <c r="D14" s="23">
        <v>6</v>
      </c>
      <c r="E14" s="14">
        <v>7</v>
      </c>
      <c r="F14" s="14">
        <v>2</v>
      </c>
      <c r="G14" s="14">
        <v>3</v>
      </c>
      <c r="H14" s="14">
        <v>4.5</v>
      </c>
      <c r="I14" s="14"/>
      <c r="J14" s="14"/>
      <c r="K14" s="14"/>
      <c r="L14" s="26">
        <f t="shared" si="0"/>
        <v>22.5</v>
      </c>
      <c r="M14" s="13" t="str">
        <f t="shared" si="1"/>
        <v>3-2-0</v>
      </c>
    </row>
    <row r="15" spans="1:14" ht="12.95" customHeight="1" thickBot="1" x14ac:dyDescent="0.25">
      <c r="A15" s="12">
        <v>13</v>
      </c>
      <c r="B15" s="25" t="s">
        <v>70</v>
      </c>
      <c r="C15" s="24" t="s">
        <v>59</v>
      </c>
      <c r="D15" s="23">
        <v>3</v>
      </c>
      <c r="E15" s="14">
        <v>6</v>
      </c>
      <c r="F15" s="14">
        <v>0</v>
      </c>
      <c r="G15" s="14">
        <v>2.5</v>
      </c>
      <c r="H15" s="14">
        <v>0</v>
      </c>
      <c r="I15" s="14"/>
      <c r="J15" s="14"/>
      <c r="K15" s="14"/>
      <c r="L15" s="26">
        <f t="shared" si="0"/>
        <v>11.5</v>
      </c>
      <c r="M15" s="13" t="str">
        <f t="shared" si="1"/>
        <v>1-4-0</v>
      </c>
    </row>
    <row r="16" spans="1:14" ht="12.95" customHeight="1" thickBot="1" x14ac:dyDescent="0.25">
      <c r="A16" s="12">
        <v>14</v>
      </c>
      <c r="B16" s="25" t="s">
        <v>71</v>
      </c>
      <c r="C16" s="24" t="s">
        <v>59</v>
      </c>
      <c r="D16" s="23">
        <v>5</v>
      </c>
      <c r="E16" s="14">
        <v>4</v>
      </c>
      <c r="F16" s="14">
        <v>6</v>
      </c>
      <c r="G16" s="14">
        <v>5</v>
      </c>
      <c r="H16" s="14"/>
      <c r="I16" s="14">
        <v>6</v>
      </c>
      <c r="J16" s="14"/>
      <c r="K16" s="14"/>
      <c r="L16" s="26">
        <f t="shared" si="0"/>
        <v>26</v>
      </c>
      <c r="M16" s="13" t="str">
        <f t="shared" si="1"/>
        <v>4-0-1</v>
      </c>
    </row>
    <row r="17" spans="1:13" ht="12.95" customHeight="1" thickBot="1" x14ac:dyDescent="0.25">
      <c r="A17" s="12">
        <v>15</v>
      </c>
      <c r="B17" s="25" t="s">
        <v>72</v>
      </c>
      <c r="C17" s="24" t="s">
        <v>59</v>
      </c>
      <c r="D17" s="23">
        <v>3.5</v>
      </c>
      <c r="E17" s="14">
        <v>2</v>
      </c>
      <c r="F17" s="14">
        <v>1</v>
      </c>
      <c r="G17" s="14">
        <v>2</v>
      </c>
      <c r="H17" s="14"/>
      <c r="I17" s="14"/>
      <c r="J17" s="14"/>
      <c r="K17" s="14"/>
      <c r="L17" s="26">
        <f t="shared" si="0"/>
        <v>8.5</v>
      </c>
      <c r="M17" s="13" t="str">
        <f t="shared" si="1"/>
        <v>0-4-0</v>
      </c>
    </row>
    <row r="18" spans="1:13" ht="12.95" customHeight="1" thickBot="1" x14ac:dyDescent="0.25">
      <c r="A18" s="12">
        <v>16</v>
      </c>
      <c r="B18" s="25" t="s">
        <v>73</v>
      </c>
      <c r="C18" s="24" t="s">
        <v>59</v>
      </c>
      <c r="D18" s="23">
        <v>4.5</v>
      </c>
      <c r="E18" s="14">
        <v>7</v>
      </c>
      <c r="F18" s="14">
        <v>8</v>
      </c>
      <c r="G18" s="14">
        <v>2</v>
      </c>
      <c r="H18" s="14">
        <v>3</v>
      </c>
      <c r="I18" s="14">
        <v>5</v>
      </c>
      <c r="J18" s="14"/>
      <c r="K18" s="14"/>
      <c r="L18" s="26">
        <f t="shared" si="0"/>
        <v>29.5</v>
      </c>
      <c r="M18" s="13" t="str">
        <f t="shared" si="1"/>
        <v>4-2-0</v>
      </c>
    </row>
    <row r="19" spans="1:13" ht="12.95" customHeight="1" thickBot="1" x14ac:dyDescent="0.25">
      <c r="A19" s="12">
        <v>17</v>
      </c>
      <c r="B19" s="25" t="s">
        <v>74</v>
      </c>
      <c r="C19" s="24" t="s">
        <v>59</v>
      </c>
      <c r="D19" s="23">
        <v>7</v>
      </c>
      <c r="E19" s="14">
        <v>4</v>
      </c>
      <c r="F19" s="14">
        <v>7</v>
      </c>
      <c r="G19" s="14">
        <v>5.5</v>
      </c>
      <c r="H19" s="14">
        <v>4</v>
      </c>
      <c r="I19" s="14"/>
      <c r="J19" s="14"/>
      <c r="K19" s="14"/>
      <c r="L19" s="26">
        <f t="shared" si="0"/>
        <v>27.5</v>
      </c>
      <c r="M19" s="13" t="str">
        <f t="shared" si="1"/>
        <v>3-0-2</v>
      </c>
    </row>
    <row r="20" spans="1:13" ht="12.95" customHeight="1" x14ac:dyDescent="0.2">
      <c r="A20" s="12">
        <v>18</v>
      </c>
      <c r="B20" s="25" t="s">
        <v>75</v>
      </c>
      <c r="C20" s="24" t="s">
        <v>59</v>
      </c>
      <c r="D20" s="23">
        <v>1</v>
      </c>
      <c r="E20" s="14">
        <v>1</v>
      </c>
      <c r="F20" s="14">
        <v>2</v>
      </c>
      <c r="G20" s="14">
        <v>3</v>
      </c>
      <c r="H20" s="14"/>
      <c r="I20" s="14"/>
      <c r="J20" s="14"/>
      <c r="K20" s="14"/>
      <c r="L20" s="26">
        <f t="shared" si="0"/>
        <v>7</v>
      </c>
      <c r="M20" s="13" t="str">
        <f t="shared" si="1"/>
        <v>0-4-0</v>
      </c>
    </row>
  </sheetData>
  <sheetProtection algorithmName="SHA-512" hashValue="8f0hVKIuYWjOtio8zQoseepxS74MBsPaZDx/VtRtGCvlAlZkWr0/h6BQy5RuEjOgeUzn/6PLztsCZSk7zo+QxA==" saltValue="UoamheasL7ytNtxsgoyrvQ==" spinCount="100000" sheet="1" objects="1" scenarios="1"/>
  <pageMargins left="0.25" right="0.25" top="0.75" bottom="0.75" header="0.3" footer="0.3"/>
  <pageSetup paperSize="3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M15"/>
  <sheetViews>
    <sheetView zoomScale="85" zoomScaleNormal="85" workbookViewId="0">
      <selection activeCell="F7" sqref="F7"/>
    </sheetView>
  </sheetViews>
  <sheetFormatPr defaultRowHeight="12.75" x14ac:dyDescent="0.2"/>
  <cols>
    <col min="1" max="1" width="18" bestFit="1" customWidth="1"/>
    <col min="2" max="2" width="27" style="7" bestFit="1" customWidth="1"/>
    <col min="3" max="3" width="27.7109375" bestFit="1" customWidth="1"/>
    <col min="4" max="4" width="30.7109375" bestFit="1" customWidth="1"/>
    <col min="5" max="5" width="28.5703125" bestFit="1" customWidth="1"/>
    <col min="6" max="6" width="25.140625" bestFit="1" customWidth="1"/>
    <col min="7" max="7" width="27.85546875" bestFit="1" customWidth="1"/>
    <col min="8" max="8" width="26.5703125" bestFit="1" customWidth="1"/>
    <col min="9" max="9" width="27" bestFit="1" customWidth="1"/>
    <col min="10" max="10" width="28.7109375" bestFit="1" customWidth="1"/>
    <col min="11" max="11" width="31.7109375" bestFit="1" customWidth="1"/>
    <col min="12" max="12" width="29.5703125" bestFit="1" customWidth="1"/>
    <col min="13" max="13" width="26.4257812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45537</v>
      </c>
      <c r="C2" s="11">
        <v>45538</v>
      </c>
      <c r="D2" s="11">
        <v>45539</v>
      </c>
      <c r="E2" s="11">
        <v>45540</v>
      </c>
      <c r="F2" s="11">
        <v>45541</v>
      </c>
      <c r="G2" s="11">
        <v>45542</v>
      </c>
      <c r="H2" s="11">
        <v>45543</v>
      </c>
      <c r="I2" s="11">
        <v>45544</v>
      </c>
      <c r="J2" s="11">
        <v>45545</v>
      </c>
      <c r="K2" s="11">
        <v>45546</v>
      </c>
      <c r="L2" s="11">
        <v>45547</v>
      </c>
      <c r="M2" s="11">
        <v>45548</v>
      </c>
    </row>
    <row r="3" spans="1:13" ht="15" customHeight="1" x14ac:dyDescent="0.2">
      <c r="A3" s="8">
        <v>0.66666666666666663</v>
      </c>
      <c r="B3" s="9"/>
      <c r="C3" s="9"/>
      <c r="D3" s="9" t="s">
        <v>78</v>
      </c>
      <c r="E3" s="9"/>
      <c r="F3" s="9"/>
      <c r="G3" s="9"/>
      <c r="H3" s="9"/>
      <c r="I3" s="9"/>
      <c r="J3" s="9"/>
      <c r="K3" s="9"/>
      <c r="L3" s="9"/>
      <c r="M3" s="9"/>
    </row>
    <row r="4" spans="1:13" ht="15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 t="s">
        <v>79</v>
      </c>
      <c r="E5" s="9"/>
      <c r="F5" s="9"/>
      <c r="G5" s="9"/>
      <c r="H5" s="9"/>
      <c r="I5" s="9"/>
      <c r="J5" s="9"/>
      <c r="K5" s="9"/>
      <c r="L5" s="9"/>
      <c r="M5" s="9"/>
    </row>
    <row r="6" spans="1:13" ht="15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 t="s">
        <v>80</v>
      </c>
      <c r="J6" s="9"/>
      <c r="K6" s="9"/>
      <c r="L6" s="9"/>
      <c r="M6" s="9"/>
    </row>
    <row r="7" spans="1:13" ht="45" customHeight="1" x14ac:dyDescent="0.2">
      <c r="A7" s="8">
        <v>0.69444444444444442</v>
      </c>
      <c r="B7" s="9"/>
      <c r="C7" s="9"/>
      <c r="D7" s="9"/>
      <c r="E7" s="9" t="s">
        <v>81</v>
      </c>
      <c r="F7" s="9"/>
      <c r="G7" s="9"/>
      <c r="H7" s="9"/>
      <c r="I7" s="9"/>
      <c r="J7" s="9"/>
      <c r="K7" s="9"/>
      <c r="L7" s="9"/>
      <c r="M7" s="9"/>
    </row>
    <row r="8" spans="1:13" ht="15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15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15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15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15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15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15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15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15"/>
  <sheetViews>
    <sheetView topLeftCell="C2" zoomScale="67" zoomScaleNormal="90" workbookViewId="0">
      <selection activeCell="E8" sqref="E8"/>
    </sheetView>
  </sheetViews>
  <sheetFormatPr defaultRowHeight="12.75" x14ac:dyDescent="0.2"/>
  <cols>
    <col min="1" max="1" width="24.5703125" bestFit="1" customWidth="1"/>
    <col min="2" max="2" width="21.140625" style="7" bestFit="1" customWidth="1"/>
    <col min="3" max="3" width="21.7109375" bestFit="1" customWidth="1"/>
    <col min="4" max="4" width="24.5703125" bestFit="1" customWidth="1"/>
    <col min="5" max="5" width="22.28515625" bestFit="1" customWidth="1"/>
    <col min="6" max="6" width="19.5703125" bestFit="1" customWidth="1"/>
    <col min="7" max="7" width="22.140625" hidden="1" customWidth="1"/>
    <col min="8" max="8" width="20.7109375" hidden="1" customWidth="1"/>
    <col min="9" max="9" width="21" bestFit="1" customWidth="1"/>
    <col min="10" max="10" width="21.5703125" bestFit="1" customWidth="1"/>
    <col min="11" max="11" width="24.5703125" bestFit="1" customWidth="1"/>
    <col min="12" max="12" width="24.28515625" bestFit="1" customWidth="1"/>
    <col min="13" max="13" width="21.14062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45495</v>
      </c>
      <c r="C2" s="11">
        <v>45496</v>
      </c>
      <c r="D2" s="11">
        <v>45497</v>
      </c>
      <c r="E2" s="11">
        <v>45498</v>
      </c>
      <c r="F2" s="11">
        <v>45499</v>
      </c>
      <c r="G2" s="11">
        <v>45500</v>
      </c>
      <c r="H2" s="11">
        <v>45501</v>
      </c>
      <c r="I2" s="11">
        <v>45502</v>
      </c>
      <c r="J2" s="11">
        <v>45503</v>
      </c>
      <c r="K2" s="11">
        <v>45504</v>
      </c>
      <c r="L2" s="11">
        <v>45505</v>
      </c>
      <c r="M2" s="11">
        <v>45506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 t="s">
        <v>82</v>
      </c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 t="s">
        <v>83</v>
      </c>
      <c r="E6" s="9"/>
      <c r="F6" s="9"/>
      <c r="G6" s="9"/>
      <c r="H6" s="9"/>
      <c r="I6" s="9"/>
      <c r="J6" s="9"/>
      <c r="K6" s="9" t="s">
        <v>84</v>
      </c>
      <c r="L6" s="9"/>
      <c r="M6" s="9"/>
    </row>
    <row r="7" spans="1:13" ht="30" customHeight="1" x14ac:dyDescent="0.2">
      <c r="A7" s="8">
        <v>0.69444444444444442</v>
      </c>
      <c r="B7" s="9"/>
      <c r="C7" s="9" t="s">
        <v>85</v>
      </c>
      <c r="D7" s="9"/>
      <c r="E7" s="9" t="s">
        <v>86</v>
      </c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5"/>
  <sheetViews>
    <sheetView zoomScale="85" zoomScaleNormal="85" workbookViewId="0">
      <selection activeCell="K4" sqref="K4"/>
    </sheetView>
  </sheetViews>
  <sheetFormatPr defaultRowHeight="12.75" x14ac:dyDescent="0.2"/>
  <cols>
    <col min="1" max="1" width="24.5703125" bestFit="1" customWidth="1"/>
    <col min="2" max="2" width="25.7109375" style="7" customWidth="1"/>
    <col min="3" max="13" width="25.7109375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45509</v>
      </c>
      <c r="C2" s="11">
        <v>45510</v>
      </c>
      <c r="D2" s="11">
        <v>45511</v>
      </c>
      <c r="E2" s="11">
        <v>45512</v>
      </c>
      <c r="F2" s="11">
        <v>45513</v>
      </c>
      <c r="G2" s="11">
        <v>45514</v>
      </c>
      <c r="H2" s="11">
        <v>45515</v>
      </c>
      <c r="I2" s="11">
        <v>45516</v>
      </c>
      <c r="J2" s="11">
        <v>45517</v>
      </c>
      <c r="K2" s="11">
        <v>45518</v>
      </c>
      <c r="L2" s="11">
        <v>45519</v>
      </c>
      <c r="M2" s="11">
        <v>45520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 t="s">
        <v>87</v>
      </c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 t="s">
        <v>88</v>
      </c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/>
      <c r="J6" s="9" t="s">
        <v>89</v>
      </c>
      <c r="K6" s="9"/>
      <c r="L6" s="9"/>
      <c r="M6" s="9"/>
    </row>
    <row r="7" spans="1:13" ht="30" customHeight="1" x14ac:dyDescent="0.2">
      <c r="A7" s="8">
        <v>0.69444444444444442</v>
      </c>
      <c r="B7" s="9"/>
      <c r="C7" s="9" t="s">
        <v>90</v>
      </c>
      <c r="D7" s="9"/>
      <c r="E7" s="9"/>
      <c r="F7" s="9"/>
      <c r="G7" s="9"/>
      <c r="H7" s="9"/>
      <c r="I7" s="9"/>
      <c r="J7" s="9" t="s">
        <v>91</v>
      </c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15"/>
  <sheetViews>
    <sheetView zoomScale="85" zoomScaleNormal="85" workbookViewId="0">
      <selection activeCell="E19" sqref="E19"/>
    </sheetView>
  </sheetViews>
  <sheetFormatPr defaultRowHeight="12.75" x14ac:dyDescent="0.2"/>
  <cols>
    <col min="1" max="1" width="18" bestFit="1" customWidth="1"/>
    <col min="2" max="2" width="24" style="7" bestFit="1" customWidth="1"/>
    <col min="3" max="3" width="24.5703125" bestFit="1" customWidth="1"/>
    <col min="4" max="4" width="27.5703125" bestFit="1" customWidth="1"/>
    <col min="5" max="5" width="25.42578125" bestFit="1" customWidth="1"/>
    <col min="6" max="6" width="22.140625" bestFit="1" customWidth="1"/>
    <col min="7" max="7" width="25" bestFit="1" customWidth="1"/>
    <col min="8" max="8" width="23.42578125" bestFit="1" customWidth="1"/>
    <col min="9" max="9" width="24" bestFit="1" customWidth="1"/>
    <col min="10" max="10" width="24.5703125" bestFit="1" customWidth="1"/>
    <col min="11" max="11" width="27.5703125" bestFit="1" customWidth="1"/>
    <col min="12" max="12" width="25.42578125" bestFit="1" customWidth="1"/>
    <col min="13" max="13" width="22.14062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45523</v>
      </c>
      <c r="C2" s="11">
        <v>45524</v>
      </c>
      <c r="D2" s="11">
        <v>45525</v>
      </c>
      <c r="E2" s="11">
        <v>45526</v>
      </c>
      <c r="F2" s="11">
        <v>45527</v>
      </c>
      <c r="G2" s="11">
        <v>45528</v>
      </c>
      <c r="H2" s="11">
        <v>45529</v>
      </c>
      <c r="I2" s="11">
        <v>45530</v>
      </c>
      <c r="J2" s="11">
        <v>45531</v>
      </c>
      <c r="K2" s="11">
        <v>45532</v>
      </c>
      <c r="L2" s="11">
        <v>45533</v>
      </c>
      <c r="M2" s="11">
        <v>45534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46.5" customHeight="1" x14ac:dyDescent="0.2">
      <c r="A6" s="8">
        <v>0.6875</v>
      </c>
      <c r="B6" s="9" t="s">
        <v>92</v>
      </c>
      <c r="C6" s="9" t="s">
        <v>93</v>
      </c>
      <c r="D6" s="9"/>
      <c r="E6" s="9" t="s">
        <v>94</v>
      </c>
      <c r="F6" s="9"/>
      <c r="G6" s="9"/>
      <c r="H6" s="9"/>
      <c r="I6" s="9"/>
      <c r="J6" s="9"/>
      <c r="L6" s="9"/>
      <c r="M6" s="9"/>
    </row>
    <row r="7" spans="1:13" ht="30" customHeight="1" x14ac:dyDescent="0.2">
      <c r="A7" s="8">
        <v>0.69444444444444442</v>
      </c>
      <c r="B7" s="9"/>
      <c r="C7" s="9"/>
      <c r="D7" s="9" t="s">
        <v>95</v>
      </c>
      <c r="E7" s="9"/>
      <c r="F7" s="9"/>
      <c r="G7" s="9"/>
      <c r="H7" s="9"/>
      <c r="I7" s="9"/>
      <c r="J7" s="9"/>
      <c r="K7" s="9" t="s">
        <v>96</v>
      </c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29"/>
  <sheetViews>
    <sheetView zoomScale="130" zoomScaleNormal="130" workbookViewId="0">
      <selection activeCell="C26" sqref="B26:C27"/>
    </sheetView>
  </sheetViews>
  <sheetFormatPr defaultRowHeight="12.75" x14ac:dyDescent="0.2"/>
  <cols>
    <col min="2" max="2" width="18.28515625" bestFit="1" customWidth="1"/>
    <col min="3" max="3" width="18.5703125" customWidth="1"/>
    <col min="4" max="4" width="19.42578125" customWidth="1"/>
    <col min="5" max="5" width="19" bestFit="1" customWidth="1"/>
    <col min="6" max="6" width="20.28515625" customWidth="1"/>
    <col min="7" max="7" width="21.28515625" bestFit="1" customWidth="1"/>
    <col min="8" max="8" width="19" bestFit="1" customWidth="1"/>
    <col min="9" max="9" width="20.42578125" bestFit="1" customWidth="1"/>
    <col min="10" max="10" width="19.5703125" bestFit="1" customWidth="1"/>
  </cols>
  <sheetData>
    <row r="1" spans="1:13" ht="23.25" customHeight="1" x14ac:dyDescent="0.35">
      <c r="B1" s="195" t="s">
        <v>97</v>
      </c>
      <c r="C1" s="194"/>
      <c r="D1" s="194"/>
      <c r="E1" s="194"/>
      <c r="F1" s="194"/>
      <c r="G1" s="194"/>
      <c r="H1" s="194"/>
      <c r="I1" s="194"/>
      <c r="J1" s="194"/>
    </row>
    <row r="2" spans="1:13" x14ac:dyDescent="0.2">
      <c r="B2" s="6" t="s">
        <v>98</v>
      </c>
      <c r="C2" s="6" t="s">
        <v>99</v>
      </c>
      <c r="D2" s="6" t="s">
        <v>100</v>
      </c>
      <c r="E2" s="6" t="s">
        <v>101</v>
      </c>
      <c r="F2" s="6" t="s">
        <v>102</v>
      </c>
      <c r="G2" s="6" t="s">
        <v>103</v>
      </c>
      <c r="H2" s="6" t="s">
        <v>104</v>
      </c>
      <c r="I2" s="6" t="s">
        <v>105</v>
      </c>
      <c r="J2" s="6" t="s">
        <v>106</v>
      </c>
      <c r="K2" s="176"/>
      <c r="L2" s="177"/>
      <c r="M2" s="150" t="s">
        <v>107</v>
      </c>
    </row>
    <row r="3" spans="1:13" x14ac:dyDescent="0.2">
      <c r="A3" s="103" t="s">
        <v>108</v>
      </c>
      <c r="B3" s="6" t="s">
        <v>109</v>
      </c>
      <c r="C3" s="6" t="s">
        <v>110</v>
      </c>
      <c r="D3" s="6" t="s">
        <v>111</v>
      </c>
      <c r="E3" s="6" t="s">
        <v>112</v>
      </c>
      <c r="F3" s="6" t="s">
        <v>113</v>
      </c>
      <c r="G3" s="6" t="s">
        <v>114</v>
      </c>
      <c r="H3" s="6" t="s">
        <v>115</v>
      </c>
      <c r="I3" s="6" t="s">
        <v>116</v>
      </c>
      <c r="J3" s="6" t="s">
        <v>117</v>
      </c>
      <c r="L3" s="156"/>
      <c r="M3" s="150" t="s">
        <v>118</v>
      </c>
    </row>
    <row r="4" spans="1:13" x14ac:dyDescent="0.2">
      <c r="B4" s="175" t="s">
        <v>119</v>
      </c>
      <c r="C4" s="175" t="s">
        <v>120</v>
      </c>
      <c r="D4" s="175" t="s">
        <v>121</v>
      </c>
      <c r="E4" s="175" t="s">
        <v>122</v>
      </c>
      <c r="F4" s="175" t="s">
        <v>123</v>
      </c>
      <c r="G4" s="175" t="s">
        <v>124</v>
      </c>
      <c r="H4" s="175" t="s">
        <v>125</v>
      </c>
      <c r="I4" s="175" t="s">
        <v>126</v>
      </c>
      <c r="J4" s="175" t="s">
        <v>127</v>
      </c>
    </row>
    <row r="5" spans="1:13" x14ac:dyDescent="0.2">
      <c r="B5" s="1" t="s">
        <v>128</v>
      </c>
      <c r="C5" s="1" t="s">
        <v>86</v>
      </c>
      <c r="D5" s="1" t="s">
        <v>129</v>
      </c>
      <c r="E5" s="1" t="s">
        <v>130</v>
      </c>
      <c r="F5" s="1" t="s">
        <v>131</v>
      </c>
      <c r="G5" s="1" t="s">
        <v>132</v>
      </c>
      <c r="H5" s="1" t="s">
        <v>133</v>
      </c>
      <c r="I5" s="3" t="s">
        <v>134</v>
      </c>
      <c r="J5" s="1" t="s">
        <v>135</v>
      </c>
    </row>
    <row r="6" spans="1:13" x14ac:dyDescent="0.2">
      <c r="B6" s="1" t="s">
        <v>136</v>
      </c>
      <c r="C6" s="1" t="s">
        <v>137</v>
      </c>
      <c r="D6" s="1" t="s">
        <v>138</v>
      </c>
      <c r="E6" s="1" t="s">
        <v>139</v>
      </c>
      <c r="F6" s="1" t="s">
        <v>140</v>
      </c>
      <c r="G6" s="1" t="s">
        <v>141</v>
      </c>
      <c r="H6" s="1" t="s">
        <v>142</v>
      </c>
      <c r="I6" s="1" t="s">
        <v>143</v>
      </c>
      <c r="J6" s="1" t="s">
        <v>144</v>
      </c>
    </row>
    <row r="7" spans="1:13" x14ac:dyDescent="0.2">
      <c r="B7" s="1" t="s">
        <v>145</v>
      </c>
      <c r="C7" s="1" t="s">
        <v>146</v>
      </c>
      <c r="D7" s="1" t="s">
        <v>147</v>
      </c>
      <c r="E7" s="1" t="s">
        <v>148</v>
      </c>
      <c r="F7" s="1" t="s">
        <v>87</v>
      </c>
      <c r="G7" s="1" t="s">
        <v>149</v>
      </c>
      <c r="H7" s="1" t="s">
        <v>150</v>
      </c>
      <c r="I7" s="1" t="s">
        <v>151</v>
      </c>
      <c r="J7" s="1" t="s">
        <v>152</v>
      </c>
    </row>
    <row r="8" spans="1:13" x14ac:dyDescent="0.2">
      <c r="B8" s="1" t="s">
        <v>153</v>
      </c>
      <c r="C8" s="1" t="s">
        <v>154</v>
      </c>
      <c r="D8" s="1" t="s">
        <v>155</v>
      </c>
      <c r="E8" s="1" t="s">
        <v>156</v>
      </c>
      <c r="F8" s="1" t="s">
        <v>157</v>
      </c>
      <c r="G8" s="1" t="s">
        <v>158</v>
      </c>
      <c r="H8" s="1" t="s">
        <v>159</v>
      </c>
      <c r="I8" s="1" t="s">
        <v>160</v>
      </c>
      <c r="J8" s="1" t="s">
        <v>161</v>
      </c>
    </row>
    <row r="9" spans="1:13" x14ac:dyDescent="0.2">
      <c r="B9" s="1" t="s">
        <v>162</v>
      </c>
      <c r="C9" s="1" t="s">
        <v>163</v>
      </c>
      <c r="D9" s="1" t="s">
        <v>164</v>
      </c>
      <c r="E9" s="1" t="s">
        <v>165</v>
      </c>
      <c r="F9" s="1" t="s">
        <v>166</v>
      </c>
      <c r="G9" s="1" t="s">
        <v>84</v>
      </c>
      <c r="H9" s="1" t="s">
        <v>167</v>
      </c>
      <c r="I9" s="3" t="s">
        <v>168</v>
      </c>
      <c r="J9" s="1" t="s">
        <v>169</v>
      </c>
    </row>
    <row r="10" spans="1:13" x14ac:dyDescent="0.2">
      <c r="B10" s="1" t="s">
        <v>170</v>
      </c>
      <c r="C10" s="1" t="s">
        <v>171</v>
      </c>
      <c r="D10" s="1" t="s">
        <v>172</v>
      </c>
      <c r="E10" s="3" t="s">
        <v>173</v>
      </c>
      <c r="F10" s="1"/>
      <c r="G10" s="3"/>
      <c r="H10" s="1"/>
      <c r="I10" s="3" t="s">
        <v>174</v>
      </c>
      <c r="J10" s="3" t="s">
        <v>175</v>
      </c>
    </row>
    <row r="11" spans="1:13" x14ac:dyDescent="0.2">
      <c r="A11" s="103" t="s">
        <v>176</v>
      </c>
      <c r="B11" s="3">
        <v>11</v>
      </c>
      <c r="C11" s="3">
        <v>15</v>
      </c>
      <c r="D11" s="3">
        <v>10</v>
      </c>
      <c r="E11" s="3">
        <v>12</v>
      </c>
      <c r="F11" s="3" t="s">
        <v>177</v>
      </c>
      <c r="G11" s="3" t="s">
        <v>178</v>
      </c>
      <c r="H11" s="3" t="s">
        <v>179</v>
      </c>
      <c r="I11" s="3">
        <v>13</v>
      </c>
      <c r="J11" s="3">
        <v>14</v>
      </c>
    </row>
    <row r="13" spans="1:13" x14ac:dyDescent="0.2">
      <c r="E13" s="196"/>
      <c r="F13" s="197"/>
    </row>
    <row r="14" spans="1:13" x14ac:dyDescent="0.2">
      <c r="B14" s="2" t="s">
        <v>17</v>
      </c>
      <c r="C14" s="2" t="s">
        <v>180</v>
      </c>
      <c r="D14" s="2" t="s">
        <v>181</v>
      </c>
      <c r="E14" s="2" t="s">
        <v>182</v>
      </c>
      <c r="F14" s="2" t="s">
        <v>183</v>
      </c>
    </row>
    <row r="15" spans="1:13" x14ac:dyDescent="0.2">
      <c r="B15" s="5">
        <v>1</v>
      </c>
      <c r="C15" s="53" t="s">
        <v>11</v>
      </c>
      <c r="D15" s="73">
        <v>12</v>
      </c>
      <c r="E15" s="106" t="s">
        <v>184</v>
      </c>
      <c r="F15" s="3"/>
    </row>
    <row r="16" spans="1:13" ht="13.5" customHeight="1" x14ac:dyDescent="0.2">
      <c r="B16" s="5">
        <v>2</v>
      </c>
      <c r="C16" s="104" t="s">
        <v>24</v>
      </c>
      <c r="D16" s="105">
        <v>12</v>
      </c>
      <c r="E16" s="106" t="s">
        <v>184</v>
      </c>
      <c r="F16" s="3" t="s">
        <v>185</v>
      </c>
    </row>
    <row r="17" spans="2:7" ht="13.5" customHeight="1" x14ac:dyDescent="0.2">
      <c r="B17" s="5">
        <f t="shared" ref="B17:B29" si="0">B16+1</f>
        <v>3</v>
      </c>
      <c r="C17" s="53" t="s">
        <v>28</v>
      </c>
      <c r="D17" s="105">
        <v>15</v>
      </c>
      <c r="E17" s="106" t="s">
        <v>184</v>
      </c>
      <c r="F17" s="3"/>
    </row>
    <row r="18" spans="2:7" ht="13.5" customHeight="1" x14ac:dyDescent="0.2">
      <c r="B18" s="5">
        <f t="shared" si="0"/>
        <v>4</v>
      </c>
      <c r="C18" s="53" t="s">
        <v>31</v>
      </c>
      <c r="D18" s="105">
        <v>20</v>
      </c>
      <c r="E18" s="106" t="s">
        <v>184</v>
      </c>
      <c r="F18" s="3" t="s">
        <v>186</v>
      </c>
    </row>
    <row r="19" spans="2:7" x14ac:dyDescent="0.2">
      <c r="B19" s="5">
        <f t="shared" si="0"/>
        <v>5</v>
      </c>
      <c r="C19" s="107" t="s">
        <v>34</v>
      </c>
      <c r="D19" s="108">
        <v>22</v>
      </c>
      <c r="E19" s="106" t="s">
        <v>184</v>
      </c>
      <c r="F19" s="3"/>
    </row>
    <row r="20" spans="2:7" ht="13.5" customHeight="1" x14ac:dyDescent="0.2">
      <c r="B20" s="5">
        <f t="shared" si="0"/>
        <v>6</v>
      </c>
      <c r="C20" s="53" t="s">
        <v>36</v>
      </c>
      <c r="D20" s="105">
        <v>24</v>
      </c>
      <c r="E20" s="106" t="s">
        <v>184</v>
      </c>
      <c r="F20" s="3" t="s">
        <v>186</v>
      </c>
      <c r="G20" s="4"/>
    </row>
    <row r="21" spans="2:7" ht="13.5" customHeight="1" x14ac:dyDescent="0.2">
      <c r="B21" s="5">
        <f t="shared" si="0"/>
        <v>7</v>
      </c>
      <c r="C21" s="53" t="s">
        <v>38</v>
      </c>
      <c r="D21" s="105">
        <v>27</v>
      </c>
      <c r="E21" s="106" t="s">
        <v>184</v>
      </c>
      <c r="F21" s="3" t="s">
        <v>186</v>
      </c>
    </row>
    <row r="22" spans="2:7" ht="13.5" customHeight="1" x14ac:dyDescent="0.2">
      <c r="B22" s="5">
        <f t="shared" si="0"/>
        <v>8</v>
      </c>
      <c r="C22" s="53" t="s">
        <v>39</v>
      </c>
      <c r="D22" s="105">
        <v>28</v>
      </c>
      <c r="E22" s="106" t="s">
        <v>184</v>
      </c>
      <c r="F22" s="3" t="s">
        <v>185</v>
      </c>
    </row>
    <row r="23" spans="2:7" x14ac:dyDescent="0.2">
      <c r="B23" s="5">
        <f t="shared" si="0"/>
        <v>9</v>
      </c>
      <c r="C23" s="53" t="s">
        <v>40</v>
      </c>
      <c r="D23" s="73">
        <v>30</v>
      </c>
      <c r="E23" s="106" t="s">
        <v>184</v>
      </c>
      <c r="F23" s="3" t="s">
        <v>185</v>
      </c>
    </row>
    <row r="24" spans="2:7" ht="13.5" customHeight="1" x14ac:dyDescent="0.2">
      <c r="B24" s="5">
        <f t="shared" si="0"/>
        <v>10</v>
      </c>
      <c r="C24" s="53" t="s">
        <v>41</v>
      </c>
      <c r="D24" s="105">
        <v>36</v>
      </c>
      <c r="E24" s="106" t="s">
        <v>184</v>
      </c>
      <c r="F24" s="3"/>
      <c r="G24" s="4"/>
    </row>
    <row r="25" spans="2:7" x14ac:dyDescent="0.2">
      <c r="B25" s="5">
        <f t="shared" si="0"/>
        <v>11</v>
      </c>
      <c r="C25" s="107" t="s">
        <v>42</v>
      </c>
      <c r="D25" s="108">
        <v>36</v>
      </c>
      <c r="E25" s="106" t="s">
        <v>184</v>
      </c>
      <c r="F25" s="3" t="s">
        <v>186</v>
      </c>
    </row>
    <row r="26" spans="2:7" ht="13.5" customHeight="1" x14ac:dyDescent="0.2">
      <c r="B26" s="5">
        <f t="shared" si="0"/>
        <v>12</v>
      </c>
      <c r="C26" s="53" t="s">
        <v>43</v>
      </c>
      <c r="D26" s="105">
        <v>36</v>
      </c>
      <c r="E26" s="106" t="s">
        <v>184</v>
      </c>
      <c r="F26" s="3" t="s">
        <v>186</v>
      </c>
    </row>
    <row r="27" spans="2:7" x14ac:dyDescent="0.2">
      <c r="B27" s="5">
        <f t="shared" si="0"/>
        <v>13</v>
      </c>
      <c r="C27" s="53" t="s">
        <v>44</v>
      </c>
      <c r="D27" s="73">
        <v>36</v>
      </c>
      <c r="E27" s="106" t="s">
        <v>184</v>
      </c>
      <c r="F27" s="3" t="s">
        <v>186</v>
      </c>
    </row>
    <row r="28" spans="2:7" ht="13.5" customHeight="1" x14ac:dyDescent="0.2">
      <c r="B28" s="5">
        <f t="shared" si="0"/>
        <v>14</v>
      </c>
      <c r="C28" s="53" t="s">
        <v>45</v>
      </c>
      <c r="D28" s="105">
        <v>36</v>
      </c>
      <c r="E28" s="106" t="s">
        <v>187</v>
      </c>
      <c r="F28" s="3" t="s">
        <v>186</v>
      </c>
    </row>
    <row r="29" spans="2:7" ht="13.5" customHeight="1" x14ac:dyDescent="0.2">
      <c r="B29" s="5">
        <f t="shared" si="0"/>
        <v>15</v>
      </c>
      <c r="C29" s="53" t="s">
        <v>46</v>
      </c>
      <c r="D29" s="105">
        <v>36</v>
      </c>
      <c r="E29" s="106" t="s">
        <v>184</v>
      </c>
      <c r="F29" s="3"/>
    </row>
  </sheetData>
  <sheetProtection algorithmName="SHA-512" hashValue="ufYqSFWQmrwR3tspyCNVwQzCM+2xHEvVEHpnnaCxkigOiT/AKvTKo7lp8cNxe4I9VAA7tv4Evs3NkxT7ROFWSg==" saltValue="oT9OKE0a6mxXp9lX4avn9Q==" spinCount="100000" sheet="1"/>
  <mergeCells count="2">
    <mergeCell ref="B1:J1"/>
    <mergeCell ref="E13:F13"/>
  </mergeCells>
  <conditionalFormatting sqref="B5:B11">
    <cfRule type="expression" dxfId="3" priority="4">
      <formula>COUNTIF(B$5:B$11, B5) &gt; 1</formula>
    </cfRule>
  </conditionalFormatting>
  <conditionalFormatting sqref="B4:J10">
    <cfRule type="expression" dxfId="2" priority="12">
      <formula>COUNTIF($B$5:$I$10, B4) &gt; 1</formula>
    </cfRule>
  </conditionalFormatting>
  <dataValidations count="1">
    <dataValidation type="list" allowBlank="1" showInputMessage="1" showErrorMessage="1" sqref="E15:E29" xr:uid="{00000000-0002-0000-0500-000000000000}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B1:AI46"/>
  <sheetViews>
    <sheetView topLeftCell="K1" zoomScale="85" zoomScaleNormal="85" workbookViewId="0">
      <selection activeCell="C6" sqref="C6"/>
    </sheetView>
  </sheetViews>
  <sheetFormatPr defaultRowHeight="12.75" x14ac:dyDescent="0.2"/>
  <cols>
    <col min="2" max="2" width="12" customWidth="1"/>
    <col min="3" max="3" width="17" bestFit="1" customWidth="1"/>
    <col min="4" max="4" width="11.85546875" customWidth="1"/>
    <col min="6" max="8" width="9.140625" customWidth="1"/>
    <col min="9" max="9" width="11" bestFit="1" customWidth="1"/>
    <col min="10" max="10" width="9.140625" customWidth="1"/>
    <col min="11" max="11" width="14" bestFit="1" customWidth="1"/>
    <col min="12" max="12" width="15.5703125" bestFit="1" customWidth="1"/>
    <col min="13" max="13" width="13.5703125" bestFit="1" customWidth="1"/>
    <col min="14" max="15" width="13.5703125" customWidth="1"/>
    <col min="16" max="35" width="12.5703125" customWidth="1"/>
  </cols>
  <sheetData>
    <row r="1" spans="2:35" x14ac:dyDescent="0.2">
      <c r="P1" s="209" t="s">
        <v>188</v>
      </c>
      <c r="Q1" s="197"/>
      <c r="R1" s="197"/>
      <c r="S1" s="197"/>
      <c r="T1" s="197"/>
      <c r="U1" s="197"/>
      <c r="V1" s="197"/>
      <c r="W1" s="197"/>
    </row>
    <row r="2" spans="2:35" ht="13.5" customHeight="1" thickBot="1" x14ac:dyDescent="0.25">
      <c r="P2" s="46" t="s">
        <v>98</v>
      </c>
      <c r="Q2" s="46" t="s">
        <v>99</v>
      </c>
      <c r="R2" s="46" t="s">
        <v>100</v>
      </c>
      <c r="S2" s="46" t="s">
        <v>101</v>
      </c>
      <c r="T2" s="46" t="s">
        <v>102</v>
      </c>
      <c r="U2" s="46" t="s">
        <v>103</v>
      </c>
      <c r="V2" s="46" t="s">
        <v>104</v>
      </c>
      <c r="W2" s="46" t="s">
        <v>105</v>
      </c>
      <c r="X2" s="46" t="s">
        <v>106</v>
      </c>
      <c r="Y2" s="46" t="s">
        <v>189</v>
      </c>
      <c r="Z2" s="46" t="s">
        <v>190</v>
      </c>
      <c r="AA2" s="46" t="s">
        <v>191</v>
      </c>
      <c r="AB2" s="46" t="s">
        <v>192</v>
      </c>
      <c r="AC2" s="46" t="s">
        <v>193</v>
      </c>
      <c r="AD2" s="46" t="s">
        <v>194</v>
      </c>
      <c r="AE2" s="46" t="s">
        <v>195</v>
      </c>
      <c r="AF2" s="46" t="s">
        <v>196</v>
      </c>
      <c r="AG2" s="46" t="s">
        <v>197</v>
      </c>
      <c r="AH2" s="46" t="s">
        <v>198</v>
      </c>
      <c r="AI2" s="46" t="s">
        <v>199</v>
      </c>
    </row>
    <row r="3" spans="2:35" ht="13.5" customHeight="1" thickBot="1" x14ac:dyDescent="0.25">
      <c r="B3" s="2" t="s">
        <v>184</v>
      </c>
      <c r="C3" s="2" t="s">
        <v>200</v>
      </c>
      <c r="D3" s="2" t="s">
        <v>201</v>
      </c>
      <c r="F3" s="79" t="s">
        <v>18</v>
      </c>
      <c r="G3" s="210" t="s">
        <v>182</v>
      </c>
      <c r="H3" s="211"/>
      <c r="I3" s="80" t="s">
        <v>202</v>
      </c>
      <c r="J3" s="80" t="s">
        <v>203</v>
      </c>
      <c r="K3" s="80" t="s">
        <v>204</v>
      </c>
      <c r="L3" s="80" t="s">
        <v>205</v>
      </c>
      <c r="M3" s="80" t="s">
        <v>206</v>
      </c>
      <c r="N3" s="99" t="s">
        <v>207</v>
      </c>
      <c r="O3" s="81" t="s">
        <v>208</v>
      </c>
      <c r="P3" s="94" t="s">
        <v>209</v>
      </c>
      <c r="Q3" s="94" t="s">
        <v>209</v>
      </c>
      <c r="R3" s="94" t="s">
        <v>209</v>
      </c>
      <c r="S3" s="94" t="s">
        <v>209</v>
      </c>
      <c r="T3" s="94" t="s">
        <v>209</v>
      </c>
      <c r="U3" s="94" t="s">
        <v>209</v>
      </c>
      <c r="V3" s="94" t="s">
        <v>209</v>
      </c>
      <c r="W3" s="94" t="s">
        <v>209</v>
      </c>
      <c r="X3" s="94" t="s">
        <v>209</v>
      </c>
      <c r="Y3" s="94" t="s">
        <v>209</v>
      </c>
      <c r="Z3" s="94" t="s">
        <v>209</v>
      </c>
      <c r="AA3" s="94" t="s">
        <v>209</v>
      </c>
      <c r="AB3" s="94" t="s">
        <v>209</v>
      </c>
      <c r="AC3" s="94" t="s">
        <v>209</v>
      </c>
      <c r="AD3" s="94" t="s">
        <v>209</v>
      </c>
      <c r="AE3" s="94" t="s">
        <v>209</v>
      </c>
      <c r="AF3" s="94" t="s">
        <v>209</v>
      </c>
      <c r="AG3" s="94" t="s">
        <v>209</v>
      </c>
      <c r="AH3" s="94" t="s">
        <v>209</v>
      </c>
      <c r="AI3" s="94" t="s">
        <v>209</v>
      </c>
    </row>
    <row r="4" spans="2:35" x14ac:dyDescent="0.2">
      <c r="B4" s="42" t="s">
        <v>210</v>
      </c>
      <c r="C4" s="43">
        <v>70.099999999999994</v>
      </c>
      <c r="D4" s="43">
        <v>130</v>
      </c>
      <c r="F4" s="205" t="s">
        <v>211</v>
      </c>
      <c r="G4" s="198" t="str">
        <f>VLOOKUP($F4,Schedule!$C$15:$E$29,3)</f>
        <v>Mens</v>
      </c>
      <c r="H4" s="198" t="e">
        <f>VLOOKUP($F4,Schedule!$C$15:$E$29,4)</f>
        <v>#REF!</v>
      </c>
      <c r="I4" s="208">
        <v>13</v>
      </c>
      <c r="J4" s="198">
        <f>I4+36</f>
        <v>49</v>
      </c>
      <c r="K4" s="201">
        <v>13</v>
      </c>
      <c r="L4" s="201" t="e">
        <f t="array" ref="L4">_xlfn.IFS($G4="Mens",ROUNDUP($K4*(VLOOKUP($H4,$B$4:$D$7,3)/113),0),$G4="Womens",ROUNDUP($K4*(VLOOKUP($H4,$B$10:$D$12,3)/113),0))</f>
        <v>#REF!</v>
      </c>
      <c r="M4" s="201" t="e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>#REF!</v>
      </c>
      <c r="N4" s="201" t="e">
        <f t="array" ref="N4">ROUNDUP(_xlfn.IFS($G4="Mens",ROUNDUP(M4*(VLOOKUP($H4,$B$4:$D$7,3)/113),1),$G4="Womens",ROUNDUP(M4*(VLOOKUP($H4,$B$10:$D$12,3)/113),1)),0)</f>
        <v>#REF!</v>
      </c>
      <c r="O4" s="202">
        <f>COUNT(P4:AI4)</f>
        <v>8</v>
      </c>
      <c r="P4" s="95">
        <v>48</v>
      </c>
      <c r="Q4" s="95">
        <v>49</v>
      </c>
      <c r="R4" s="95">
        <v>46</v>
      </c>
      <c r="S4" s="95">
        <v>48</v>
      </c>
      <c r="T4" s="95">
        <v>50</v>
      </c>
      <c r="U4" s="95">
        <v>48</v>
      </c>
      <c r="V4" s="95">
        <v>48</v>
      </c>
      <c r="W4" s="95">
        <v>48</v>
      </c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</row>
    <row r="5" spans="2:35" x14ac:dyDescent="0.2">
      <c r="B5" s="44" t="s">
        <v>14</v>
      </c>
      <c r="C5" s="43">
        <v>68.099999999999994</v>
      </c>
      <c r="D5" s="43">
        <v>126</v>
      </c>
      <c r="F5" s="206"/>
      <c r="G5" s="199"/>
      <c r="H5" s="199"/>
      <c r="I5" s="199"/>
      <c r="J5" s="199"/>
      <c r="K5" s="199"/>
      <c r="L5" s="199"/>
      <c r="M5" s="199"/>
      <c r="N5" s="199"/>
      <c r="O5" s="203"/>
      <c r="P5" s="96" t="s">
        <v>212</v>
      </c>
      <c r="Q5" s="96" t="s">
        <v>212</v>
      </c>
      <c r="R5" s="96" t="s">
        <v>212</v>
      </c>
      <c r="S5" s="96" t="s">
        <v>212</v>
      </c>
      <c r="T5" s="96" t="s">
        <v>212</v>
      </c>
      <c r="U5" s="96" t="s">
        <v>212</v>
      </c>
      <c r="V5" s="96" t="s">
        <v>212</v>
      </c>
      <c r="W5" s="96" t="s">
        <v>212</v>
      </c>
      <c r="X5" s="96" t="s">
        <v>212</v>
      </c>
      <c r="Y5" s="96" t="s">
        <v>212</v>
      </c>
      <c r="Z5" s="96" t="s">
        <v>212</v>
      </c>
      <c r="AA5" s="96" t="s">
        <v>212</v>
      </c>
      <c r="AB5" s="96" t="s">
        <v>212</v>
      </c>
      <c r="AC5" s="96" t="s">
        <v>212</v>
      </c>
      <c r="AD5" s="96" t="s">
        <v>212</v>
      </c>
      <c r="AE5" s="96" t="s">
        <v>212</v>
      </c>
      <c r="AF5" s="96" t="s">
        <v>212</v>
      </c>
      <c r="AG5" s="96" t="s">
        <v>212</v>
      </c>
      <c r="AH5" s="96" t="s">
        <v>212</v>
      </c>
      <c r="AI5" s="96" t="s">
        <v>212</v>
      </c>
    </row>
    <row r="6" spans="2:35" ht="13.5" customHeight="1" thickBot="1" x14ac:dyDescent="0.25">
      <c r="B6" s="42" t="s">
        <v>213</v>
      </c>
      <c r="C6" s="43">
        <v>65.5</v>
      </c>
      <c r="D6" s="43">
        <v>120</v>
      </c>
      <c r="F6" s="207"/>
      <c r="G6" s="200"/>
      <c r="H6" s="200"/>
      <c r="I6" s="200"/>
      <c r="J6" s="200"/>
      <c r="K6" s="200"/>
      <c r="L6" s="200"/>
      <c r="M6" s="200"/>
      <c r="N6" s="200"/>
      <c r="O6" s="204"/>
      <c r="P6" s="97" t="e">
        <f t="array" ref="P6">IF(P4="","",_xlfn.IFS($G4="Mens",(P4-(VLOOKUP($H4,$B$4:$D$7,2)/2))/VLOOKUP($H4,$B$4:$D$7,3)*113,$G4="Womens",(P4-(VLOOKUP($H4,$B$10:$D$12,2)/2))/VLOOKUP($H4,$B$10:$D$12,3)*113))</f>
        <v>#REF!</v>
      </c>
      <c r="Q6" s="97" t="e">
        <f t="array" ref="Q6">IF(Q4="","",_xlfn.IFS($G4="Mens",(Q4-(VLOOKUP($H4,$B$4:$D$7,2)/2))/VLOOKUP($H4,$B$4:$D$7,3)*113,$G4="Womens",(Q4-(VLOOKUP($H4,$B$10:$D$12,2)/2))/VLOOKUP($H4,$B$10:$D$12,3)*113))</f>
        <v>#REF!</v>
      </c>
      <c r="R6" s="97" t="e">
        <f t="array" ref="R6">IF(R4="","",_xlfn.IFS($G4="Mens",(R4-(VLOOKUP($H4,$B$4:$D$7,2)/2))/VLOOKUP($H4,$B$4:$D$7,3)*113,$G4="Womens",(R4-(VLOOKUP($H4,$B$10:$D$12,2)/2))/VLOOKUP($H4,$B$10:$D$12,3)*113))</f>
        <v>#REF!</v>
      </c>
      <c r="S6" s="97" t="e">
        <f t="array" ref="S6">IF(S4="","",_xlfn.IFS($G4="Mens",(S4-(VLOOKUP($H4,$B$4:$D$7,2)/2))/VLOOKUP($H4,$B$4:$D$7,3)*113,$G4="Womens",(S4-(VLOOKUP($H4,$B$10:$D$12,2)/2))/VLOOKUP($H4,$B$10:$D$12,3)*113))</f>
        <v>#REF!</v>
      </c>
      <c r="T6" s="97" t="e">
        <f t="array" ref="T6">IF(T4="","",_xlfn.IFS($G4="Mens",(T4-(VLOOKUP($H4,$B$4:$D$7,2)/2))/VLOOKUP($H4,$B$4:$D$7,3)*113,$G4="Womens",(T4-(VLOOKUP($H4,$B$10:$D$12,2)/2))/VLOOKUP($H4,$B$10:$D$12,3)*113))</f>
        <v>#REF!</v>
      </c>
      <c r="U6" s="97" t="e">
        <f t="array" ref="U6">IF(U4="","",_xlfn.IFS($G4="Mens",(U4-(VLOOKUP($H4,$B$4:$D$7,2)/2))/VLOOKUP($H4,$B$4:$D$7,3)*113,$G4="Womens",(U4-(VLOOKUP($H4,$B$10:$D$12,2)/2))/VLOOKUP($H4,$B$10:$D$12,3)*113))</f>
        <v>#REF!</v>
      </c>
      <c r="V6" s="97" t="e">
        <f t="array" ref="V6">IF(V4="","",_xlfn.IFS($G4="Mens",(V4-(VLOOKUP($H4,$B$4:$D$7,2)/2))/VLOOKUP($H4,$B$4:$D$7,3)*113,$G4="Womens",(V4-(VLOOKUP($H4,$B$10:$D$12,2)/2))/VLOOKUP($H4,$B$10:$D$12,3)*113))</f>
        <v>#REF!</v>
      </c>
      <c r="W6" s="97" t="e">
        <f t="array" ref="W6">IF(W4="","",_xlfn.IFS($G4="Mens",(W4-(VLOOKUP($H4,$B$4:$D$7,2)/2))/VLOOKUP($H4,$B$4:$D$7,3)*113,$G4="Womens",(W4-(VLOOKUP($H4,$B$10:$D$12,2)/2))/VLOOKUP($H4,$B$10:$D$12,3)*113))</f>
        <v>#REF!</v>
      </c>
      <c r="X6" s="97" t="str">
        <f t="array" ref="X6">IF(X4="","",_xlfn.IFS($G4="Mens",(X4-(VLOOKUP($H4,$B$4:$D$7,2)/2))/VLOOKUP($H4,$B$4:$D$7,3)*113,$G4="Womens",(X4-(VLOOKUP($H4,$B$10:$D$12,2)/2))/VLOOKUP($H4,$B$10:$D$12,3)*113))</f>
        <v/>
      </c>
      <c r="Y6" s="97" t="str">
        <f t="array" ref="Y6">IF(Y4="","",_xlfn.IFS($G4="Mens",(Y4-(VLOOKUP($H4,$B$4:$D$7,2)/2))/VLOOKUP($H4,$B$4:$D$7,3)*113,$G4="Womens",(Y4-(VLOOKUP($H4,$B$10:$D$12,2)/2))/VLOOKUP($H4,$B$10:$D$12,3)*113))</f>
        <v/>
      </c>
      <c r="Z6" s="97" t="str">
        <f t="array" ref="Z6">IF(Z4="","",_xlfn.IFS($G4="Mens",(Z4-(VLOOKUP($H4,$B$4:$D$7,2)/2))/VLOOKUP($H4,$B$4:$D$7,3)*113,$G4="Womens",(Z4-(VLOOKUP($H4,$B$10:$D$12,2)/2))/VLOOKUP($H4,$B$10:$D$12,3)*113))</f>
        <v/>
      </c>
      <c r="AA6" s="97" t="str">
        <f t="array" ref="AA6">IF(AA4="","",_xlfn.IFS($G4="Mens",(AA4-(VLOOKUP($H4,$B$4:$D$7,2)/2))/VLOOKUP($H4,$B$4:$D$7,3)*113,$G4="Womens",(AA4-(VLOOKUP($H4,$B$10:$D$12,2)/2))/VLOOKUP($H4,$B$10:$D$12,3)*113))</f>
        <v/>
      </c>
      <c r="AB6" s="97" t="str">
        <f t="array" ref="AB6">IF(AB4="","",_xlfn.IFS($G4="Mens",(AB4-(VLOOKUP($H4,$B$4:$D$7,2)/2))/VLOOKUP($H4,$B$4:$D$7,3)*113,$G4="Womens",(AB4-(VLOOKUP($H4,$B$10:$D$12,2)/2))/VLOOKUP($H4,$B$10:$D$12,3)*113))</f>
        <v/>
      </c>
      <c r="AC6" s="97" t="str">
        <f t="array" ref="AC6">IF(AC4="","",_xlfn.IFS($G4="Mens",(AC4-(VLOOKUP($H4,$B$4:$D$7,2)/2))/VLOOKUP($H4,$B$4:$D$7,3)*113,$G4="Womens",(AC4-(VLOOKUP($H4,$B$10:$D$12,2)/2))/VLOOKUP($H4,$B$10:$D$12,3)*113))</f>
        <v/>
      </c>
      <c r="AD6" s="97" t="str">
        <f t="array" ref="AD6">IF(AD4="","",_xlfn.IFS($G4="Mens",(AD4-(VLOOKUP($H4,$B$4:$D$7,2)/2))/VLOOKUP($H4,$B$4:$D$7,3)*113,$G4="Womens",(AD4-(VLOOKUP($H4,$B$10:$D$12,2)/2))/VLOOKUP($H4,$B$10:$D$12,3)*113))</f>
        <v/>
      </c>
      <c r="AE6" s="97" t="str">
        <f t="array" ref="AE6">IF(AE4="","",_xlfn.IFS($G4="Mens",(AE4-(VLOOKUP($H4,$B$4:$D$7,2)/2))/VLOOKUP($H4,$B$4:$D$7,3)*113,$G4="Womens",(AE4-(VLOOKUP($H4,$B$10:$D$12,2)/2))/VLOOKUP($H4,$B$10:$D$12,3)*113))</f>
        <v/>
      </c>
      <c r="AF6" s="97" t="str">
        <f t="array" ref="AF6">IF(AF4="","",_xlfn.IFS($G4="Mens",(AF4-(VLOOKUP($H4,$B$4:$D$7,2)/2))/VLOOKUP($H4,$B$4:$D$7,3)*113,$G4="Womens",(AF4-(VLOOKUP($H4,$B$10:$D$12,2)/2))/VLOOKUP($H4,$B$10:$D$12,3)*113))</f>
        <v/>
      </c>
      <c r="AG6" s="97" t="str">
        <f t="array" ref="AG6">IF(AG4="","",_xlfn.IFS($G4="Mens",(AG4-(VLOOKUP($H4,$B$4:$D$7,2)/2))/VLOOKUP($H4,$B$4:$D$7,3)*113,$G4="Womens",(AG4-(VLOOKUP($H4,$B$10:$D$12,2)/2))/VLOOKUP($H4,$B$10:$D$12,3)*113))</f>
        <v/>
      </c>
      <c r="AH6" s="97" t="str">
        <f t="array" ref="AH6">IF(AH4="","",_xlfn.IFS($G4="Mens",(AH4-(VLOOKUP($H4,$B$4:$D$7,2)/2))/VLOOKUP($H4,$B$4:$D$7,3)*113,$G4="Womens",(AH4-(VLOOKUP($H4,$B$10:$D$12,2)/2))/VLOOKUP($H4,$B$10:$D$12,3)*113))</f>
        <v/>
      </c>
      <c r="AI6" s="97" t="str">
        <f t="array" ref="AI6">IF(AI4="","",_xlfn.IFS($G4="Mens",(AI4-(VLOOKUP($H4,$B$4:$D$7,2)/2))/VLOOKUP($H4,$B$4:$D$7,3)*113,$G4="Womens",(AI4-(VLOOKUP($H4,$B$10:$D$12,2)/2))/VLOOKUP($H4,$B$10:$D$12,3)*113))</f>
        <v/>
      </c>
    </row>
    <row r="7" spans="2:35" x14ac:dyDescent="0.2">
      <c r="B7" s="45" t="s">
        <v>26</v>
      </c>
      <c r="C7" s="43">
        <v>64</v>
      </c>
      <c r="D7" s="43">
        <v>116</v>
      </c>
      <c r="L7" s="98"/>
    </row>
    <row r="8" spans="2:35" x14ac:dyDescent="0.2">
      <c r="B8" s="12"/>
      <c r="C8" s="12"/>
      <c r="D8" s="12"/>
    </row>
    <row r="9" spans="2:35" x14ac:dyDescent="0.2">
      <c r="B9" s="2" t="s">
        <v>187</v>
      </c>
      <c r="C9" s="2" t="s">
        <v>200</v>
      </c>
      <c r="D9" s="2" t="s">
        <v>201</v>
      </c>
    </row>
    <row r="10" spans="2:35" x14ac:dyDescent="0.2">
      <c r="B10" s="44" t="s">
        <v>14</v>
      </c>
      <c r="C10" s="43">
        <v>73.400000000000006</v>
      </c>
      <c r="D10" s="43">
        <v>131</v>
      </c>
    </row>
    <row r="11" spans="2:35" x14ac:dyDescent="0.2">
      <c r="B11" s="42" t="s">
        <v>213</v>
      </c>
      <c r="C11" s="43">
        <v>70.2</v>
      </c>
      <c r="D11" s="43">
        <v>124</v>
      </c>
    </row>
    <row r="12" spans="2:35" x14ac:dyDescent="0.2">
      <c r="B12" s="45" t="s">
        <v>26</v>
      </c>
      <c r="C12" s="43">
        <v>68.3</v>
      </c>
      <c r="D12" s="43">
        <v>120</v>
      </c>
    </row>
    <row r="14" spans="2:35" ht="13.5" customHeight="1" thickBot="1" x14ac:dyDescent="0.25"/>
    <row r="15" spans="2:35" ht="25.5" customHeight="1" x14ac:dyDescent="0.2">
      <c r="B15" s="82" t="s">
        <v>214</v>
      </c>
      <c r="C15" s="83" t="s">
        <v>215</v>
      </c>
      <c r="D15" s="84" t="s">
        <v>216</v>
      </c>
    </row>
    <row r="16" spans="2:35" x14ac:dyDescent="0.2">
      <c r="B16" s="36">
        <v>1</v>
      </c>
      <c r="C16" s="77" t="s">
        <v>217</v>
      </c>
      <c r="D16" s="38">
        <v>-2</v>
      </c>
    </row>
    <row r="17" spans="2:11" x14ac:dyDescent="0.2">
      <c r="B17" s="36">
        <v>2</v>
      </c>
      <c r="C17" s="77" t="s">
        <v>217</v>
      </c>
      <c r="D17" s="38">
        <v>-2</v>
      </c>
    </row>
    <row r="18" spans="2:11" x14ac:dyDescent="0.2">
      <c r="B18" s="36">
        <v>3</v>
      </c>
      <c r="C18" s="77" t="s">
        <v>217</v>
      </c>
      <c r="D18" s="38">
        <v>-2</v>
      </c>
    </row>
    <row r="19" spans="2:11" x14ac:dyDescent="0.2">
      <c r="B19" s="36">
        <v>4</v>
      </c>
      <c r="C19" s="77" t="s">
        <v>217</v>
      </c>
      <c r="D19" s="38">
        <v>-1</v>
      </c>
    </row>
    <row r="20" spans="2:11" ht="13.5" customHeight="1" thickBot="1" x14ac:dyDescent="0.25">
      <c r="B20" s="39">
        <v>5</v>
      </c>
      <c r="C20" s="85" t="s">
        <v>217</v>
      </c>
      <c r="D20" s="41">
        <v>0</v>
      </c>
    </row>
    <row r="21" spans="2:11" x14ac:dyDescent="0.2">
      <c r="B21" s="86">
        <v>6</v>
      </c>
      <c r="C21" s="87" t="s">
        <v>218</v>
      </c>
      <c r="D21" s="88">
        <v>-1</v>
      </c>
    </row>
    <row r="22" spans="2:11" x14ac:dyDescent="0.2">
      <c r="B22" s="36">
        <v>7</v>
      </c>
      <c r="C22" s="77" t="s">
        <v>218</v>
      </c>
      <c r="D22" s="38">
        <v>0</v>
      </c>
    </row>
    <row r="23" spans="2:11" ht="13.5" customHeight="1" thickBot="1" x14ac:dyDescent="0.25">
      <c r="B23" s="39">
        <v>8</v>
      </c>
      <c r="C23" s="85" t="s">
        <v>218</v>
      </c>
      <c r="D23" s="41">
        <v>0</v>
      </c>
    </row>
    <row r="24" spans="2:11" x14ac:dyDescent="0.2">
      <c r="B24" s="86">
        <v>9</v>
      </c>
      <c r="C24" s="87" t="s">
        <v>219</v>
      </c>
      <c r="D24" s="88">
        <v>0</v>
      </c>
    </row>
    <row r="25" spans="2:11" x14ac:dyDescent="0.2">
      <c r="B25" s="36">
        <v>10</v>
      </c>
      <c r="C25" s="77" t="s">
        <v>219</v>
      </c>
      <c r="D25" s="38">
        <v>0</v>
      </c>
      <c r="K25" s="101"/>
    </row>
    <row r="26" spans="2:11" ht="13.5" customHeight="1" thickBot="1" x14ac:dyDescent="0.25">
      <c r="B26" s="39">
        <v>11</v>
      </c>
      <c r="C26" s="85" t="s">
        <v>219</v>
      </c>
      <c r="D26" s="41">
        <v>0</v>
      </c>
    </row>
    <row r="27" spans="2:11" x14ac:dyDescent="0.2">
      <c r="B27" s="86">
        <v>12</v>
      </c>
      <c r="C27" s="87" t="s">
        <v>220</v>
      </c>
      <c r="D27" s="88">
        <v>0</v>
      </c>
    </row>
    <row r="28" spans="2:11" x14ac:dyDescent="0.2">
      <c r="B28" s="36">
        <v>13</v>
      </c>
      <c r="C28" s="77" t="s">
        <v>220</v>
      </c>
      <c r="D28" s="38">
        <v>0</v>
      </c>
    </row>
    <row r="29" spans="2:11" ht="13.5" customHeight="1" thickBot="1" x14ac:dyDescent="0.25">
      <c r="B29" s="39">
        <v>14</v>
      </c>
      <c r="C29" s="85" t="s">
        <v>220</v>
      </c>
      <c r="D29" s="41">
        <v>0</v>
      </c>
    </row>
    <row r="30" spans="2:11" x14ac:dyDescent="0.2">
      <c r="B30" s="86">
        <v>15</v>
      </c>
      <c r="C30" s="87" t="s">
        <v>221</v>
      </c>
      <c r="D30" s="88">
        <v>0</v>
      </c>
    </row>
    <row r="31" spans="2:11" ht="13.5" customHeight="1" thickBot="1" x14ac:dyDescent="0.25">
      <c r="B31" s="39">
        <v>16</v>
      </c>
      <c r="C31" s="85" t="s">
        <v>221</v>
      </c>
      <c r="D31" s="41">
        <v>0</v>
      </c>
    </row>
    <row r="32" spans="2:11" x14ac:dyDescent="0.2">
      <c r="B32" s="86">
        <v>17</v>
      </c>
      <c r="C32" s="87" t="s">
        <v>222</v>
      </c>
      <c r="D32" s="88">
        <v>0</v>
      </c>
    </row>
    <row r="33" spans="2:4" ht="13.5" customHeight="1" thickBot="1" x14ac:dyDescent="0.25">
      <c r="B33" s="39">
        <v>18</v>
      </c>
      <c r="C33" s="85" t="s">
        <v>222</v>
      </c>
      <c r="D33" s="41">
        <v>0</v>
      </c>
    </row>
    <row r="34" spans="2:4" ht="13.5" customHeight="1" thickBot="1" x14ac:dyDescent="0.25">
      <c r="B34" s="91">
        <v>19</v>
      </c>
      <c r="C34" s="92" t="s">
        <v>223</v>
      </c>
      <c r="D34" s="93">
        <v>0</v>
      </c>
    </row>
    <row r="35" spans="2:4" ht="13.5" customHeight="1" thickBot="1" x14ac:dyDescent="0.25">
      <c r="B35" s="89">
        <v>20</v>
      </c>
      <c r="C35" s="90" t="s">
        <v>224</v>
      </c>
      <c r="D35" s="78">
        <v>0</v>
      </c>
    </row>
    <row r="38" spans="2:4" x14ac:dyDescent="0.2">
      <c r="B38" s="100" t="s">
        <v>225</v>
      </c>
      <c r="C38" s="102" t="str">
        <f>IF(O4&lt;=$B$20,MIN(P6:AI6),"N/A")</f>
        <v>N/A</v>
      </c>
    </row>
    <row r="39" spans="2:4" x14ac:dyDescent="0.2">
      <c r="B39" s="100" t="s">
        <v>226</v>
      </c>
      <c r="C39" t="e">
        <f t="array" ref="C39">IF(AND(O4&gt;=$B$21,O4&lt;=$B$23),AVERAGE(SMALL(P6:AI6,{1,2})),"N/A")</f>
        <v>#REF!</v>
      </c>
    </row>
    <row r="40" spans="2:4" x14ac:dyDescent="0.2">
      <c r="B40" s="100" t="s">
        <v>227</v>
      </c>
      <c r="C40" t="str">
        <f t="array" ref="C40">IF(AND(O4&gt;=$B$24,O4&lt;=$B$26),AVERAGE(SMALL(P6:AI6,{1,2,3})),"N/A")</f>
        <v>N/A</v>
      </c>
    </row>
    <row r="41" spans="2:4" x14ac:dyDescent="0.2">
      <c r="B41" s="100" t="s">
        <v>228</v>
      </c>
      <c r="C41" t="str">
        <f t="array" ref="C41">IF(AND(O4&gt;=$B$27,O4&lt;=$B$29),AVERAGE(SMALL(P6:AI6,{1,2,3,4})),"N/A")</f>
        <v>N/A</v>
      </c>
    </row>
    <row r="42" spans="2:4" x14ac:dyDescent="0.2">
      <c r="B42" s="100" t="s">
        <v>229</v>
      </c>
      <c r="C42" t="str">
        <f t="array" ref="C42">IF(AND(O4&gt;=$B$30,O4&lt;=$B$31),AVERAGE(SMALL(P6:AI6,{1,2,3,4,5})),"N/A")</f>
        <v>N/A</v>
      </c>
    </row>
    <row r="43" spans="2:4" x14ac:dyDescent="0.2">
      <c r="B43" s="100" t="s">
        <v>230</v>
      </c>
      <c r="C43" t="str">
        <f t="array" ref="C43">IF(AND(O4&gt;=$B$32,O4&lt;=$B$33),AVERAGE(SMALL(P6:AI6,{1,2,3,4,5,6})),"N/A")</f>
        <v>N/A</v>
      </c>
    </row>
    <row r="44" spans="2:4" x14ac:dyDescent="0.2">
      <c r="B44" s="101">
        <v>19</v>
      </c>
      <c r="C44" t="str">
        <f t="array" ref="C44">IF(AND(O4=$B$34),AVERAGE(SMALL(P6:AI6,{1,2,3,4,5,6,7})),"N/A")</f>
        <v>N/A</v>
      </c>
    </row>
    <row r="45" spans="2:4" x14ac:dyDescent="0.2">
      <c r="B45" s="101">
        <v>20</v>
      </c>
      <c r="C45" t="str">
        <f t="array" ref="C45">IF(AND(O4=$B$35),AVERAGE(SMALL(P6:AI6,{1,2,3,4,5,6,7,8})),"N/A")</f>
        <v>N/A</v>
      </c>
    </row>
    <row r="46" spans="2:4" x14ac:dyDescent="0.2">
      <c r="B46" s="101" t="s">
        <v>216</v>
      </c>
      <c r="C46">
        <f>VLOOKUP(O4,$B$16:$D$35,3)</f>
        <v>0</v>
      </c>
    </row>
  </sheetData>
  <mergeCells count="12">
    <mergeCell ref="O4:O6"/>
    <mergeCell ref="M4:M6"/>
    <mergeCell ref="F4:F6"/>
    <mergeCell ref="I4:I6"/>
    <mergeCell ref="P1:W1"/>
    <mergeCell ref="G3:H3"/>
    <mergeCell ref="G4:G6"/>
    <mergeCell ref="J4:J6"/>
    <mergeCell ref="H4:H6"/>
    <mergeCell ref="N4:N6"/>
    <mergeCell ref="L4:L6"/>
    <mergeCell ref="K4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pageSetUpPr fitToPage="1"/>
  </sheetPr>
  <dimension ref="A1:S32"/>
  <sheetViews>
    <sheetView zoomScale="115" zoomScaleNormal="115" workbookViewId="0">
      <selection activeCell="E40" sqref="E40"/>
    </sheetView>
  </sheetViews>
  <sheetFormatPr defaultColWidth="9.140625" defaultRowHeight="12.75" x14ac:dyDescent="0.2"/>
  <cols>
    <col min="1" max="1" width="3.140625" style="12" customWidth="1"/>
    <col min="2" max="2" width="18" style="12" bestFit="1" customWidth="1"/>
    <col min="3" max="3" width="12.140625" style="12" bestFit="1" customWidth="1"/>
    <col min="4" max="12" width="9.140625" style="12" customWidth="1"/>
    <col min="13" max="15" width="11.5703125" style="12" customWidth="1"/>
    <col min="16" max="17" width="9.140625" style="12" customWidth="1"/>
    <col min="18" max="19" width="14.85546875" style="12" customWidth="1"/>
    <col min="20" max="26" width="9.140625" style="12" customWidth="1"/>
    <col min="27" max="16384" width="9.140625" style="12"/>
  </cols>
  <sheetData>
    <row r="1" spans="1:19" ht="13.5" customHeight="1" thickBot="1" x14ac:dyDescent="0.25">
      <c r="N1" s="229" t="s">
        <v>231</v>
      </c>
      <c r="O1" s="191"/>
      <c r="P1" s="21"/>
    </row>
    <row r="2" spans="1:19" ht="41.45" customHeight="1" thickBot="1" x14ac:dyDescent="0.25">
      <c r="B2" s="20" t="s">
        <v>18</v>
      </c>
      <c r="C2" s="22"/>
      <c r="D2" s="28" t="s">
        <v>98</v>
      </c>
      <c r="E2" s="152" t="s">
        <v>99</v>
      </c>
      <c r="F2" s="152" t="s">
        <v>100</v>
      </c>
      <c r="G2" s="152" t="s">
        <v>101</v>
      </c>
      <c r="H2" s="152" t="s">
        <v>102</v>
      </c>
      <c r="I2" s="152" t="s">
        <v>103</v>
      </c>
      <c r="J2" s="152" t="s">
        <v>104</v>
      </c>
      <c r="K2" s="152" t="s">
        <v>105</v>
      </c>
      <c r="L2" s="174" t="s">
        <v>106</v>
      </c>
      <c r="M2" s="151" t="s">
        <v>56</v>
      </c>
      <c r="N2" s="15" t="s">
        <v>57</v>
      </c>
      <c r="O2" s="29" t="s">
        <v>232</v>
      </c>
    </row>
    <row r="3" spans="1:19" ht="12.95" customHeight="1" thickBot="1" x14ac:dyDescent="0.25">
      <c r="A3" s="12">
        <v>1</v>
      </c>
      <c r="B3" s="216" t="str">
        <f>Schedule!C15</f>
        <v>Brian Wojcio</v>
      </c>
      <c r="C3" s="157" t="s">
        <v>59</v>
      </c>
      <c r="D3" s="158">
        <v>2</v>
      </c>
      <c r="E3" s="159"/>
      <c r="F3" s="159"/>
      <c r="G3" s="159"/>
      <c r="H3" s="159"/>
      <c r="I3" s="159"/>
      <c r="J3" s="159"/>
      <c r="K3" s="159"/>
      <c r="L3" s="160"/>
      <c r="M3" s="222">
        <v>2</v>
      </c>
      <c r="N3" s="220" t="s">
        <v>233</v>
      </c>
      <c r="O3" s="230">
        <v>43</v>
      </c>
      <c r="Q3" s="231" t="s">
        <v>234</v>
      </c>
      <c r="R3" s="232"/>
      <c r="S3" s="179"/>
    </row>
    <row r="4" spans="1:19" ht="13.5" customHeight="1" thickBot="1" x14ac:dyDescent="0.25">
      <c r="B4" s="217"/>
      <c r="C4" s="161" t="s">
        <v>235</v>
      </c>
      <c r="D4" s="162">
        <v>43</v>
      </c>
      <c r="E4" s="163"/>
      <c r="F4" s="163"/>
      <c r="G4" s="163"/>
      <c r="H4" s="163"/>
      <c r="I4" s="163"/>
      <c r="J4" s="163"/>
      <c r="K4" s="163"/>
      <c r="L4" s="164"/>
      <c r="M4" s="223"/>
      <c r="N4" s="219"/>
      <c r="O4" s="213"/>
      <c r="Q4" s="31" t="s">
        <v>236</v>
      </c>
      <c r="R4" s="26" t="s">
        <v>237</v>
      </c>
      <c r="S4" s="32" t="s">
        <v>238</v>
      </c>
    </row>
    <row r="5" spans="1:19" ht="12.95" customHeight="1" x14ac:dyDescent="0.2">
      <c r="A5" s="12">
        <v>2</v>
      </c>
      <c r="B5" s="221" t="str">
        <f>Schedule!C16</f>
        <v>Ethan High</v>
      </c>
      <c r="C5" s="24" t="s">
        <v>59</v>
      </c>
      <c r="D5" s="165">
        <v>6</v>
      </c>
      <c r="E5" s="166"/>
      <c r="F5" s="166"/>
      <c r="G5" s="166"/>
      <c r="H5" s="166"/>
      <c r="I5" s="166"/>
      <c r="J5" s="166"/>
      <c r="K5" s="166"/>
      <c r="L5" s="167"/>
      <c r="M5" s="226">
        <v>6</v>
      </c>
      <c r="N5" s="218" t="s">
        <v>239</v>
      </c>
      <c r="O5" s="212">
        <v>39</v>
      </c>
      <c r="Q5" s="33">
        <v>1</v>
      </c>
      <c r="R5" s="34"/>
      <c r="S5" s="35"/>
    </row>
    <row r="6" spans="1:19" ht="13.5" customHeight="1" thickBot="1" x14ac:dyDescent="0.25">
      <c r="B6" s="215"/>
      <c r="C6" s="168" t="s">
        <v>235</v>
      </c>
      <c r="D6" s="169">
        <v>39</v>
      </c>
      <c r="E6" s="170"/>
      <c r="F6" s="170"/>
      <c r="G6" s="170"/>
      <c r="H6" s="170"/>
      <c r="I6" s="170"/>
      <c r="J6" s="170"/>
      <c r="K6" s="170"/>
      <c r="L6" s="171"/>
      <c r="M6" s="223"/>
      <c r="N6" s="219"/>
      <c r="O6" s="213"/>
      <c r="Q6" s="36">
        <v>2</v>
      </c>
      <c r="R6" s="37"/>
      <c r="S6" s="38"/>
    </row>
    <row r="7" spans="1:19" ht="12.95" customHeight="1" x14ac:dyDescent="0.2">
      <c r="A7" s="12">
        <v>3</v>
      </c>
      <c r="B7" s="214" t="str">
        <f>Schedule!C17</f>
        <v>Rob Bass</v>
      </c>
      <c r="C7" s="157" t="s">
        <v>59</v>
      </c>
      <c r="D7" s="158">
        <v>1</v>
      </c>
      <c r="E7" s="159"/>
      <c r="F7" s="159"/>
      <c r="G7" s="159"/>
      <c r="H7" s="159"/>
      <c r="I7" s="159"/>
      <c r="J7" s="159"/>
      <c r="K7" s="159"/>
      <c r="L7" s="160"/>
      <c r="M7" s="222">
        <v>1</v>
      </c>
      <c r="N7" s="220" t="s">
        <v>233</v>
      </c>
      <c r="O7" s="230">
        <v>43</v>
      </c>
      <c r="Q7" s="33">
        <v>3</v>
      </c>
      <c r="R7" s="34"/>
      <c r="S7" s="35"/>
    </row>
    <row r="8" spans="1:19" ht="13.5" customHeight="1" thickBot="1" x14ac:dyDescent="0.25">
      <c r="B8" s="215"/>
      <c r="C8" s="161" t="s">
        <v>235</v>
      </c>
      <c r="D8" s="162">
        <v>43</v>
      </c>
      <c r="E8" s="163"/>
      <c r="F8" s="163"/>
      <c r="G8" s="163"/>
      <c r="H8" s="163"/>
      <c r="I8" s="163"/>
      <c r="J8" s="163"/>
      <c r="K8" s="163"/>
      <c r="L8" s="164"/>
      <c r="M8" s="223"/>
      <c r="N8" s="219"/>
      <c r="O8" s="213"/>
      <c r="Q8" s="39">
        <v>4</v>
      </c>
      <c r="R8" s="40"/>
      <c r="S8" s="41"/>
    </row>
    <row r="9" spans="1:19" ht="12.95" customHeight="1" thickBot="1" x14ac:dyDescent="0.25">
      <c r="A9" s="12">
        <v>4</v>
      </c>
      <c r="B9" s="221" t="str">
        <f>Schedule!C18</f>
        <v>Carson Bass</v>
      </c>
      <c r="C9" s="24" t="s">
        <v>59</v>
      </c>
      <c r="D9" s="165">
        <v>7</v>
      </c>
      <c r="E9" s="166"/>
      <c r="F9" s="166"/>
      <c r="G9" s="166"/>
      <c r="H9" s="166"/>
      <c r="I9" s="166"/>
      <c r="J9" s="166"/>
      <c r="K9" s="166"/>
      <c r="L9" s="167"/>
      <c r="M9" s="226">
        <v>7</v>
      </c>
      <c r="N9" s="218" t="s">
        <v>239</v>
      </c>
      <c r="O9" s="212">
        <v>38</v>
      </c>
    </row>
    <row r="10" spans="1:19" ht="13.5" customHeight="1" thickBot="1" x14ac:dyDescent="0.25">
      <c r="B10" s="215"/>
      <c r="C10" s="168" t="s">
        <v>235</v>
      </c>
      <c r="D10" s="169">
        <v>38</v>
      </c>
      <c r="E10" s="170"/>
      <c r="F10" s="170"/>
      <c r="G10" s="170"/>
      <c r="H10" s="170"/>
      <c r="I10" s="170"/>
      <c r="J10" s="170"/>
      <c r="K10" s="170"/>
      <c r="L10" s="171"/>
      <c r="M10" s="223"/>
      <c r="N10" s="219"/>
      <c r="O10" s="213"/>
      <c r="R10" s="224" t="s">
        <v>240</v>
      </c>
      <c r="S10" s="225"/>
    </row>
    <row r="11" spans="1:19" ht="12.95" customHeight="1" x14ac:dyDescent="0.2">
      <c r="A11" s="12">
        <v>5</v>
      </c>
      <c r="B11" s="214" t="str">
        <f>Schedule!C19</f>
        <v>Michael McHugh</v>
      </c>
      <c r="C11" s="157" t="s">
        <v>59</v>
      </c>
      <c r="D11" s="158"/>
      <c r="E11" s="159"/>
      <c r="F11" s="159"/>
      <c r="G11" s="159"/>
      <c r="H11" s="159"/>
      <c r="I11" s="159"/>
      <c r="J11" s="159"/>
      <c r="K11" s="159"/>
      <c r="L11" s="160"/>
      <c r="M11" s="222"/>
      <c r="N11" s="220"/>
      <c r="O11" s="230"/>
      <c r="R11" s="36" t="s">
        <v>16</v>
      </c>
      <c r="S11" s="38" t="s">
        <v>21</v>
      </c>
    </row>
    <row r="12" spans="1:19" ht="13.5" customHeight="1" thickBot="1" x14ac:dyDescent="0.25">
      <c r="B12" s="215"/>
      <c r="C12" s="161" t="s">
        <v>235</v>
      </c>
      <c r="D12" s="162"/>
      <c r="E12" s="163"/>
      <c r="F12" s="163"/>
      <c r="G12" s="163"/>
      <c r="H12" s="163"/>
      <c r="I12" s="163"/>
      <c r="J12" s="163"/>
      <c r="K12" s="163"/>
      <c r="L12" s="164"/>
      <c r="M12" s="223"/>
      <c r="N12" s="219"/>
      <c r="O12" s="213"/>
      <c r="R12" s="36" t="s">
        <v>121</v>
      </c>
      <c r="S12" s="38" t="s">
        <v>241</v>
      </c>
    </row>
    <row r="13" spans="1:19" ht="12.95" customHeight="1" thickBot="1" x14ac:dyDescent="0.25">
      <c r="A13" s="12">
        <v>6</v>
      </c>
      <c r="B13" s="221" t="str">
        <f>Schedule!C20</f>
        <v>Bruce Atkins</v>
      </c>
      <c r="C13" s="24" t="s">
        <v>59</v>
      </c>
      <c r="D13" s="165"/>
      <c r="E13" s="166"/>
      <c r="F13" s="166"/>
      <c r="G13" s="166"/>
      <c r="H13" s="166"/>
      <c r="I13" s="166"/>
      <c r="J13" s="166"/>
      <c r="K13" s="166"/>
      <c r="L13" s="167"/>
      <c r="M13" s="226"/>
      <c r="N13" s="218"/>
      <c r="O13" s="212"/>
      <c r="R13" s="39" t="s">
        <v>132</v>
      </c>
      <c r="S13" s="41" t="s">
        <v>242</v>
      </c>
    </row>
    <row r="14" spans="1:19" ht="13.5" customHeight="1" thickBot="1" x14ac:dyDescent="0.25">
      <c r="B14" s="215"/>
      <c r="C14" s="168" t="s">
        <v>235</v>
      </c>
      <c r="D14" s="169"/>
      <c r="E14" s="170"/>
      <c r="F14" s="170"/>
      <c r="G14" s="170"/>
      <c r="H14" s="170"/>
      <c r="I14" s="170"/>
      <c r="J14" s="170"/>
      <c r="K14" s="170"/>
      <c r="L14" s="171"/>
      <c r="M14" s="223"/>
      <c r="N14" s="219"/>
      <c r="O14" s="213"/>
    </row>
    <row r="15" spans="1:19" ht="12.95" customHeight="1" x14ac:dyDescent="0.2">
      <c r="A15" s="12">
        <v>7</v>
      </c>
      <c r="B15" s="214" t="str">
        <f>Schedule!C21</f>
        <v>Alex Palmer</v>
      </c>
      <c r="C15" s="157" t="s">
        <v>59</v>
      </c>
      <c r="D15" s="158"/>
      <c r="E15" s="159"/>
      <c r="F15" s="159"/>
      <c r="G15" s="159"/>
      <c r="H15" s="159"/>
      <c r="I15" s="159"/>
      <c r="J15" s="159"/>
      <c r="K15" s="159"/>
      <c r="L15" s="160"/>
      <c r="M15" s="222"/>
      <c r="N15" s="220"/>
      <c r="O15" s="230"/>
    </row>
    <row r="16" spans="1:19" ht="13.5" customHeight="1" thickBot="1" x14ac:dyDescent="0.25">
      <c r="B16" s="215"/>
      <c r="C16" s="161" t="s">
        <v>235</v>
      </c>
      <c r="D16" s="162"/>
      <c r="E16" s="163"/>
      <c r="F16" s="163"/>
      <c r="G16" s="163"/>
      <c r="H16" s="163"/>
      <c r="I16" s="163"/>
      <c r="J16" s="163"/>
      <c r="K16" s="163"/>
      <c r="L16" s="164"/>
      <c r="M16" s="223"/>
      <c r="N16" s="219"/>
      <c r="O16" s="213"/>
    </row>
    <row r="17" spans="1:19" ht="12.95" customHeight="1" x14ac:dyDescent="0.2">
      <c r="A17" s="12">
        <v>8</v>
      </c>
      <c r="B17" s="221" t="str">
        <f>Schedule!C22</f>
        <v>Curtis Lynn</v>
      </c>
      <c r="C17" s="24" t="s">
        <v>59</v>
      </c>
      <c r="D17" s="165"/>
      <c r="E17" s="166"/>
      <c r="F17" s="166"/>
      <c r="G17" s="166"/>
      <c r="H17" s="166"/>
      <c r="I17" s="166"/>
      <c r="J17" s="166"/>
      <c r="K17" s="166"/>
      <c r="L17" s="167"/>
      <c r="M17" s="226"/>
      <c r="N17" s="218"/>
      <c r="O17" s="212"/>
      <c r="Q17" s="227" t="s">
        <v>243</v>
      </c>
      <c r="R17" s="228"/>
      <c r="S17" s="228"/>
    </row>
    <row r="18" spans="1:19" ht="13.5" customHeight="1" thickBot="1" x14ac:dyDescent="0.25">
      <c r="B18" s="215"/>
      <c r="C18" s="168" t="s">
        <v>235</v>
      </c>
      <c r="D18" s="169"/>
      <c r="E18" s="170"/>
      <c r="F18" s="170"/>
      <c r="G18" s="170"/>
      <c r="H18" s="170"/>
      <c r="I18" s="170"/>
      <c r="J18" s="170"/>
      <c r="K18" s="170"/>
      <c r="L18" s="171"/>
      <c r="M18" s="223"/>
      <c r="N18" s="219"/>
      <c r="O18" s="213"/>
      <c r="Q18" s="154" t="s">
        <v>244</v>
      </c>
      <c r="R18" s="21"/>
    </row>
    <row r="19" spans="1:19" ht="12.95" customHeight="1" x14ac:dyDescent="0.2">
      <c r="A19" s="12">
        <v>9</v>
      </c>
      <c r="B19" s="214" t="str">
        <f>Schedule!C23</f>
        <v>Ben Linck</v>
      </c>
      <c r="C19" s="157" t="s">
        <v>59</v>
      </c>
      <c r="D19" s="158"/>
      <c r="E19" s="159"/>
      <c r="F19" s="159"/>
      <c r="G19" s="159"/>
      <c r="H19" s="159"/>
      <c r="I19" s="159"/>
      <c r="J19" s="159"/>
      <c r="K19" s="159"/>
      <c r="L19" s="160"/>
      <c r="M19" s="222"/>
      <c r="N19" s="220"/>
      <c r="O19" s="230"/>
      <c r="Q19" s="154" t="s">
        <v>245</v>
      </c>
    </row>
    <row r="20" spans="1:19" ht="13.5" customHeight="1" thickBot="1" x14ac:dyDescent="0.25">
      <c r="B20" s="215"/>
      <c r="C20" s="161" t="s">
        <v>235</v>
      </c>
      <c r="D20" s="162"/>
      <c r="E20" s="163"/>
      <c r="F20" s="163"/>
      <c r="G20" s="163"/>
      <c r="H20" s="163"/>
      <c r="I20" s="163"/>
      <c r="J20" s="163"/>
      <c r="K20" s="163"/>
      <c r="L20" s="164"/>
      <c r="M20" s="223"/>
      <c r="N20" s="219"/>
      <c r="O20" s="213"/>
      <c r="Q20" s="154" t="s">
        <v>246</v>
      </c>
      <c r="R20" s="21"/>
    </row>
    <row r="21" spans="1:19" ht="12.95" customHeight="1" x14ac:dyDescent="0.2">
      <c r="A21" s="12">
        <v>10</v>
      </c>
      <c r="B21" s="221" t="str">
        <f>Schedule!C24</f>
        <v>Charlotte Hayes</v>
      </c>
      <c r="C21" s="24" t="s">
        <v>59</v>
      </c>
      <c r="D21" s="165"/>
      <c r="E21" s="166"/>
      <c r="F21" s="166"/>
      <c r="G21" s="166"/>
      <c r="H21" s="166"/>
      <c r="I21" s="166"/>
      <c r="J21" s="166"/>
      <c r="K21" s="166"/>
      <c r="L21" s="167"/>
      <c r="M21" s="226"/>
      <c r="N21" s="218"/>
      <c r="O21" s="212"/>
      <c r="Q21" s="154" t="s">
        <v>247</v>
      </c>
      <c r="R21" s="21"/>
    </row>
    <row r="22" spans="1:19" ht="13.5" customHeight="1" thickBot="1" x14ac:dyDescent="0.25">
      <c r="B22" s="215"/>
      <c r="C22" s="168" t="s">
        <v>235</v>
      </c>
      <c r="D22" s="169"/>
      <c r="E22" s="170"/>
      <c r="F22" s="170"/>
      <c r="G22" s="170"/>
      <c r="H22" s="170"/>
      <c r="I22" s="170"/>
      <c r="J22" s="170"/>
      <c r="K22" s="170"/>
      <c r="L22" s="171"/>
      <c r="M22" s="223"/>
      <c r="N22" s="219"/>
      <c r="O22" s="213"/>
    </row>
    <row r="23" spans="1:19" ht="12.95" customHeight="1" x14ac:dyDescent="0.2">
      <c r="A23" s="12">
        <v>11</v>
      </c>
      <c r="B23" s="214" t="str">
        <f>Schedule!C25</f>
        <v>David Maddox</v>
      </c>
      <c r="C23" s="157" t="s">
        <v>59</v>
      </c>
      <c r="D23" s="158"/>
      <c r="E23" s="159"/>
      <c r="F23" s="159"/>
      <c r="G23" s="159"/>
      <c r="H23" s="159"/>
      <c r="I23" s="159"/>
      <c r="J23" s="159"/>
      <c r="K23" s="159"/>
      <c r="L23" s="160"/>
      <c r="M23" s="222"/>
      <c r="N23" s="220"/>
      <c r="O23" s="230"/>
    </row>
    <row r="24" spans="1:19" ht="13.5" customHeight="1" thickBot="1" x14ac:dyDescent="0.25">
      <c r="B24" s="215"/>
      <c r="C24" s="161" t="s">
        <v>235</v>
      </c>
      <c r="D24" s="162"/>
      <c r="E24" s="163"/>
      <c r="F24" s="163"/>
      <c r="G24" s="163"/>
      <c r="H24" s="163"/>
      <c r="I24" s="163"/>
      <c r="J24" s="163"/>
      <c r="K24" s="163"/>
      <c r="L24" s="164"/>
      <c r="M24" s="223"/>
      <c r="N24" s="219"/>
      <c r="O24" s="213"/>
    </row>
    <row r="25" spans="1:19" ht="12.95" customHeight="1" x14ac:dyDescent="0.2">
      <c r="A25" s="12">
        <v>12</v>
      </c>
      <c r="B25" s="221" t="str">
        <f>Schedule!C26</f>
        <v>Jerome Martin</v>
      </c>
      <c r="C25" s="24" t="s">
        <v>59</v>
      </c>
      <c r="D25" s="165"/>
      <c r="E25" s="166"/>
      <c r="F25" s="166"/>
      <c r="G25" s="166"/>
      <c r="H25" s="166"/>
      <c r="I25" s="166"/>
      <c r="J25" s="166"/>
      <c r="K25" s="166"/>
      <c r="L25" s="167"/>
      <c r="M25" s="226"/>
      <c r="N25" s="218"/>
      <c r="O25" s="212"/>
    </row>
    <row r="26" spans="1:19" ht="13.5" customHeight="1" thickBot="1" x14ac:dyDescent="0.25">
      <c r="B26" s="215"/>
      <c r="C26" s="168" t="s">
        <v>235</v>
      </c>
      <c r="D26" s="169"/>
      <c r="E26" s="170"/>
      <c r="F26" s="170"/>
      <c r="G26" s="170"/>
      <c r="H26" s="170"/>
      <c r="I26" s="170"/>
      <c r="J26" s="170"/>
      <c r="K26" s="170"/>
      <c r="L26" s="171"/>
      <c r="M26" s="223"/>
      <c r="N26" s="219"/>
      <c r="O26" s="213"/>
    </row>
    <row r="27" spans="1:19" ht="12.95" customHeight="1" x14ac:dyDescent="0.2">
      <c r="A27" s="12">
        <v>13</v>
      </c>
      <c r="B27" s="214" t="str">
        <f>Schedule!C27</f>
        <v>Kaylan Adams</v>
      </c>
      <c r="C27" s="157" t="s">
        <v>59</v>
      </c>
      <c r="D27" s="158"/>
      <c r="E27" s="159"/>
      <c r="F27" s="159"/>
      <c r="G27" s="159"/>
      <c r="H27" s="159"/>
      <c r="I27" s="159"/>
      <c r="J27" s="159"/>
      <c r="K27" s="159"/>
      <c r="L27" s="160"/>
      <c r="M27" s="222"/>
      <c r="N27" s="220"/>
      <c r="O27" s="230"/>
    </row>
    <row r="28" spans="1:19" ht="13.5" customHeight="1" thickBot="1" x14ac:dyDescent="0.25">
      <c r="B28" s="215"/>
      <c r="C28" s="161" t="s">
        <v>235</v>
      </c>
      <c r="D28" s="162"/>
      <c r="E28" s="163"/>
      <c r="F28" s="163"/>
      <c r="G28" s="163"/>
      <c r="H28" s="163"/>
      <c r="I28" s="163"/>
      <c r="J28" s="163"/>
      <c r="K28" s="163"/>
      <c r="L28" s="164"/>
      <c r="M28" s="223"/>
      <c r="N28" s="219"/>
      <c r="O28" s="213"/>
    </row>
    <row r="29" spans="1:19" ht="12.95" customHeight="1" x14ac:dyDescent="0.2">
      <c r="A29" s="12">
        <v>14</v>
      </c>
      <c r="B29" s="221" t="str">
        <f>Schedule!C28</f>
        <v>Megan Serian</v>
      </c>
      <c r="C29" s="24" t="s">
        <v>59</v>
      </c>
      <c r="D29" s="165"/>
      <c r="E29" s="166"/>
      <c r="F29" s="166"/>
      <c r="G29" s="166"/>
      <c r="H29" s="166"/>
      <c r="I29" s="166"/>
      <c r="J29" s="166"/>
      <c r="K29" s="166"/>
      <c r="L29" s="167"/>
      <c r="M29" s="226"/>
      <c r="N29" s="218"/>
      <c r="O29" s="212"/>
    </row>
    <row r="30" spans="1:19" ht="13.5" customHeight="1" thickBot="1" x14ac:dyDescent="0.25">
      <c r="B30" s="215"/>
      <c r="C30" s="168" t="s">
        <v>235</v>
      </c>
      <c r="D30" s="169"/>
      <c r="E30" s="170"/>
      <c r="F30" s="170"/>
      <c r="G30" s="170"/>
      <c r="H30" s="170"/>
      <c r="I30" s="170"/>
      <c r="J30" s="170"/>
      <c r="K30" s="170"/>
      <c r="L30" s="171"/>
      <c r="M30" s="223"/>
      <c r="N30" s="219"/>
      <c r="O30" s="213"/>
    </row>
    <row r="31" spans="1:19" ht="12.95" customHeight="1" x14ac:dyDescent="0.2">
      <c r="A31" s="12">
        <v>15</v>
      </c>
      <c r="B31" s="214" t="str">
        <f>Schedule!C29</f>
        <v>Nick Coglianese</v>
      </c>
      <c r="C31" s="157" t="s">
        <v>59</v>
      </c>
      <c r="D31" s="158"/>
      <c r="E31" s="159"/>
      <c r="F31" s="159"/>
      <c r="G31" s="159"/>
      <c r="H31" s="159"/>
      <c r="I31" s="159"/>
      <c r="J31" s="159"/>
      <c r="K31" s="159"/>
      <c r="L31" s="160"/>
      <c r="M31" s="222"/>
      <c r="N31" s="220"/>
      <c r="O31" s="230"/>
    </row>
    <row r="32" spans="1:19" ht="13.5" customHeight="1" thickBot="1" x14ac:dyDescent="0.25">
      <c r="B32" s="215"/>
      <c r="C32" s="161" t="s">
        <v>235</v>
      </c>
      <c r="D32" s="162"/>
      <c r="E32" s="163"/>
      <c r="F32" s="163"/>
      <c r="G32" s="163"/>
      <c r="H32" s="163"/>
      <c r="I32" s="163"/>
      <c r="J32" s="163"/>
      <c r="K32" s="163"/>
      <c r="L32" s="164"/>
      <c r="M32" s="223"/>
      <c r="N32" s="219"/>
      <c r="O32" s="213"/>
    </row>
  </sheetData>
  <sheetProtection algorithmName="SHA-512" hashValue="Y3y62YBPDCQhqKgsSl1/iH5xODfF8lm4IgTCoiweq2jLnTBBsjKN4ZDmcY+ulNgK91riyyuYS5VZZqKHpfKB8g==" saltValue="kkQ/PatKpMHBAJY782mRBw==" spinCount="100000" sheet="1"/>
  <mergeCells count="64">
    <mergeCell ref="Q3:S3"/>
    <mergeCell ref="N11:N12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N1:O1"/>
    <mergeCell ref="N23:N24"/>
    <mergeCell ref="O31:O32"/>
    <mergeCell ref="B15:B16"/>
    <mergeCell ref="N19:N20"/>
    <mergeCell ref="M27:M28"/>
    <mergeCell ref="B19:B20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M31:M32"/>
    <mergeCell ref="B13:B14"/>
    <mergeCell ref="N17:N18"/>
    <mergeCell ref="M25:M26"/>
    <mergeCell ref="O25:O26"/>
    <mergeCell ref="O21:O22"/>
    <mergeCell ref="N29:N30"/>
    <mergeCell ref="N15:N16"/>
    <mergeCell ref="M23:M24"/>
    <mergeCell ref="O23:O24"/>
    <mergeCell ref="R10:S10"/>
    <mergeCell ref="B11:B12"/>
    <mergeCell ref="N21:N22"/>
    <mergeCell ref="M7:M8"/>
    <mergeCell ref="B29:B30"/>
    <mergeCell ref="B23:B24"/>
    <mergeCell ref="M15:M16"/>
    <mergeCell ref="M13:M14"/>
    <mergeCell ref="O29:O30"/>
    <mergeCell ref="Q17:S17"/>
    <mergeCell ref="O7:O8"/>
    <mergeCell ref="O5:O6"/>
    <mergeCell ref="B27:B28"/>
    <mergeCell ref="B3:B4"/>
    <mergeCell ref="N25:N26"/>
    <mergeCell ref="N3:N4"/>
    <mergeCell ref="B17:B18"/>
    <mergeCell ref="M11:M12"/>
    <mergeCell ref="N5:N6"/>
    <mergeCell ref="M3:M4"/>
    <mergeCell ref="B5:B6"/>
    <mergeCell ref="M5:M6"/>
  </mergeCells>
  <pageMargins left="0.25" right="0.25" top="0.75" bottom="0.75" header="0.3" footer="0.3"/>
  <pageSetup paperSize="3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B1:AE24"/>
  <sheetViews>
    <sheetView zoomScale="85" zoomScaleNormal="85" workbookViewId="0">
      <selection activeCell="D40" sqref="D40"/>
    </sheetView>
  </sheetViews>
  <sheetFormatPr defaultColWidth="9.85546875" defaultRowHeight="13.5" x14ac:dyDescent="0.2"/>
  <cols>
    <col min="1" max="1" width="2.5703125" style="48" customWidth="1"/>
    <col min="2" max="2" width="27.85546875" style="48" customWidth="1"/>
    <col min="3" max="8" width="9.85546875" style="48" customWidth="1"/>
    <col min="9" max="9" width="10.7109375" style="48" bestFit="1" customWidth="1"/>
    <col min="10" max="11" width="10.5703125" style="48" customWidth="1"/>
    <col min="12" max="13" width="10.85546875" style="48" customWidth="1"/>
    <col min="14" max="14" width="5.7109375" style="48" customWidth="1"/>
    <col min="15" max="15" width="11" style="48" bestFit="1" customWidth="1"/>
    <col min="16" max="24" width="4.5703125" style="48" customWidth="1"/>
    <col min="25" max="25" width="7.5703125" style="48" customWidth="1"/>
    <col min="26" max="27" width="9.85546875" style="48" customWidth="1"/>
    <col min="28" max="28" width="16.42578125" style="48" bestFit="1" customWidth="1"/>
    <col min="29" max="30" width="12.7109375" style="48" customWidth="1"/>
    <col min="31" max="37" width="9.85546875" style="48" customWidth="1"/>
    <col min="38" max="16384" width="9.85546875" style="48"/>
  </cols>
  <sheetData>
    <row r="1" spans="2:31" ht="14.25" customHeight="1" thickBot="1" x14ac:dyDescent="0.25">
      <c r="B1" s="47" t="s">
        <v>248</v>
      </c>
      <c r="J1" s="240" t="s">
        <v>1</v>
      </c>
      <c r="K1" s="191"/>
      <c r="L1" s="191"/>
      <c r="M1" s="191"/>
    </row>
    <row r="2" spans="2:31" ht="24.95" customHeight="1" thickBot="1" x14ac:dyDescent="0.25">
      <c r="D2" s="49" t="s">
        <v>3</v>
      </c>
      <c r="E2" s="49" t="s">
        <v>4</v>
      </c>
      <c r="F2" s="49" t="s">
        <v>5</v>
      </c>
      <c r="G2" s="49" t="s">
        <v>6</v>
      </c>
      <c r="H2" s="49" t="s">
        <v>7</v>
      </c>
      <c r="I2" s="50"/>
      <c r="J2" s="237" t="str">
        <f>B8</f>
        <v>Ethan High</v>
      </c>
      <c r="K2" s="179"/>
      <c r="L2" s="233" t="str">
        <f>B17</f>
        <v>Bruce Dubovecky</v>
      </c>
      <c r="M2" s="179"/>
      <c r="AA2" s="112" t="s">
        <v>17</v>
      </c>
      <c r="AB2" s="112" t="s">
        <v>249</v>
      </c>
      <c r="AC2" s="110" t="s">
        <v>250</v>
      </c>
      <c r="AD2" s="110" t="s">
        <v>251</v>
      </c>
      <c r="AE2" s="112" t="s">
        <v>27</v>
      </c>
    </row>
    <row r="3" spans="2:31" ht="14.25" customHeight="1" thickBot="1" x14ac:dyDescent="0.25">
      <c r="B3" s="238" t="str">
        <f>B8</f>
        <v>Ethan High</v>
      </c>
      <c r="C3" s="51" t="s">
        <v>8</v>
      </c>
      <c r="D3" s="52">
        <f>SUM(C15:E15)</f>
        <v>0</v>
      </c>
      <c r="E3" s="52">
        <f>SUM(F15:H15)</f>
        <v>0</v>
      </c>
      <c r="F3" s="52">
        <f>SUM(I15:K15)</f>
        <v>0</v>
      </c>
      <c r="G3" s="52">
        <f>SUM(C15:K15)</f>
        <v>0</v>
      </c>
      <c r="H3" s="52">
        <f>SUM(C14:K14)</f>
        <v>33</v>
      </c>
      <c r="J3" s="236">
        <f>SUM(D4:H4)</f>
        <v>0</v>
      </c>
      <c r="K3" s="183"/>
      <c r="L3" s="239">
        <f>SUM(D6:H6)</f>
        <v>8</v>
      </c>
      <c r="M3" s="183"/>
      <c r="AA3" s="110">
        <v>13</v>
      </c>
      <c r="AB3" s="111" t="s">
        <v>70</v>
      </c>
      <c r="AC3" s="54" t="str">
        <f t="shared" ref="AC3:AC21" si="0">LEFT(AB3,SEARCH(" ",AB3)-1)</f>
        <v>Brandon</v>
      </c>
      <c r="AD3" s="54" t="str">
        <f t="shared" ref="AD3:AD21" si="1">RIGHT(AB3,LEN(AB3)-SEARCH(" ",AB3))</f>
        <v>Sizemore</v>
      </c>
      <c r="AE3" s="55">
        <v>25</v>
      </c>
    </row>
    <row r="4" spans="2:31" ht="14.25" customHeight="1" thickBot="1" x14ac:dyDescent="0.25">
      <c r="B4" s="186"/>
      <c r="C4" s="57" t="s">
        <v>9</v>
      </c>
      <c r="D4" s="58">
        <f>IF(D3&gt;D5,2,IF(D3=D5,1,0))</f>
        <v>0</v>
      </c>
      <c r="E4" s="58">
        <f>IF(E3&gt;E5,2,IF(E3=E5,1,0))</f>
        <v>0</v>
      </c>
      <c r="F4" s="58">
        <f>IF(F3&gt;F5,2,IF(F3=F5,1,0))</f>
        <v>0</v>
      </c>
      <c r="G4" s="58">
        <f>IF(G3&gt;G5,1,IF(G3=G5,0.5,0))</f>
        <v>0</v>
      </c>
      <c r="H4" s="58">
        <f>IF(H3&lt;H5,1,IF(H3=H5,0.5,0))</f>
        <v>0</v>
      </c>
      <c r="J4" s="184"/>
      <c r="K4" s="185"/>
      <c r="L4" s="235"/>
      <c r="M4" s="185"/>
      <c r="AA4" s="110">
        <v>17</v>
      </c>
      <c r="AB4" s="111" t="s">
        <v>74</v>
      </c>
      <c r="AC4" s="54" t="str">
        <f t="shared" si="0"/>
        <v>Brian</v>
      </c>
      <c r="AD4" s="54" t="str">
        <f t="shared" si="1"/>
        <v>Babecki</v>
      </c>
      <c r="AE4" s="55">
        <v>30</v>
      </c>
    </row>
    <row r="5" spans="2:31" ht="14.25" customHeight="1" thickBot="1" x14ac:dyDescent="0.25">
      <c r="B5" s="238" t="str">
        <f>B17</f>
        <v>Bruce Dubovecky</v>
      </c>
      <c r="C5" s="59" t="s">
        <v>8</v>
      </c>
      <c r="D5" s="60">
        <f>SUM(C24:E24)</f>
        <v>2</v>
      </c>
      <c r="E5" s="60">
        <f>SUM(F24:H24)</f>
        <v>3</v>
      </c>
      <c r="F5" s="60">
        <f>SUM(I24:K24)</f>
        <v>3</v>
      </c>
      <c r="G5" s="60">
        <f>SUM(C24:K24)</f>
        <v>8</v>
      </c>
      <c r="H5" s="60">
        <f>SUM(C23:K23)</f>
        <v>0</v>
      </c>
      <c r="J5" s="186"/>
      <c r="K5" s="187"/>
      <c r="L5" s="191"/>
      <c r="M5" s="187"/>
      <c r="AA5" s="110">
        <v>4</v>
      </c>
      <c r="AB5" s="111" t="s">
        <v>252</v>
      </c>
      <c r="AC5" s="54" t="str">
        <f t="shared" si="0"/>
        <v>Brian</v>
      </c>
      <c r="AD5" s="54" t="str">
        <f t="shared" si="1"/>
        <v>Bencal</v>
      </c>
      <c r="AE5" s="55">
        <v>14</v>
      </c>
    </row>
    <row r="6" spans="2:31" ht="14.25" customHeight="1" thickBot="1" x14ac:dyDescent="0.25">
      <c r="B6" s="186"/>
      <c r="C6" s="57" t="s">
        <v>9</v>
      </c>
      <c r="D6" s="58">
        <f>IF(D5&gt;D3,2,IF(D5=D3,1,0))</f>
        <v>2</v>
      </c>
      <c r="E6" s="58">
        <f>IF(E5&gt;E3,2,IF(E5=E3,1,0))</f>
        <v>2</v>
      </c>
      <c r="F6" s="58">
        <f>IF(F5&gt;F3,2,IF(F5=F3,1,0))</f>
        <v>2</v>
      </c>
      <c r="G6" s="58">
        <f>IF(G5&gt;G3,1,IF(G5=G3,0.5,0))</f>
        <v>1</v>
      </c>
      <c r="H6" s="58">
        <f>IF(H5&lt;H3,1,IF(H5=H3,0.5,0))</f>
        <v>1</v>
      </c>
      <c r="J6" s="61"/>
      <c r="K6" s="61"/>
      <c r="L6" s="61"/>
      <c r="M6" s="61"/>
      <c r="AA6" s="110">
        <v>11</v>
      </c>
      <c r="AB6" s="111" t="s">
        <v>69</v>
      </c>
      <c r="AC6" s="54" t="str">
        <f t="shared" si="0"/>
        <v>Bruce</v>
      </c>
      <c r="AD6" s="54" t="str">
        <f t="shared" si="1"/>
        <v>Dubovecky</v>
      </c>
      <c r="AE6" s="55">
        <v>21</v>
      </c>
    </row>
    <row r="7" spans="2:31" x14ac:dyDescent="0.2">
      <c r="C7" s="61"/>
      <c r="D7" s="61"/>
      <c r="E7" s="61"/>
      <c r="F7" s="61"/>
      <c r="G7" s="61"/>
      <c r="H7" s="61"/>
      <c r="I7" s="61"/>
      <c r="J7" s="61"/>
      <c r="K7" s="61"/>
      <c r="L7" s="61"/>
      <c r="AA7" s="110">
        <v>5</v>
      </c>
      <c r="AB7" s="111" t="s">
        <v>65</v>
      </c>
      <c r="AC7" s="54" t="str">
        <f t="shared" si="0"/>
        <v>David</v>
      </c>
      <c r="AD7" s="54" t="str">
        <f t="shared" si="1"/>
        <v>Hughes</v>
      </c>
      <c r="AE7" s="55">
        <v>14</v>
      </c>
    </row>
    <row r="8" spans="2:31" ht="19.5" customHeight="1" thickBot="1" x14ac:dyDescent="0.25">
      <c r="B8" s="109" t="s">
        <v>24</v>
      </c>
      <c r="C8" s="62" t="s">
        <v>12</v>
      </c>
      <c r="D8" s="61">
        <f>IFERROR(VLOOKUP(B8,$AB$3:$AE$21,4,0),0)</f>
        <v>15</v>
      </c>
      <c r="E8" s="61"/>
      <c r="F8" s="61" t="s">
        <v>13</v>
      </c>
      <c r="G8" s="63" t="s">
        <v>210</v>
      </c>
      <c r="H8" s="61"/>
      <c r="I8" s="61" t="s">
        <v>15</v>
      </c>
      <c r="J8" s="63" t="s">
        <v>16</v>
      </c>
      <c r="K8" s="61"/>
      <c r="L8" s="61"/>
      <c r="O8" s="48" t="s">
        <v>20</v>
      </c>
      <c r="P8" s="234" t="s">
        <v>16</v>
      </c>
      <c r="Q8" s="235"/>
      <c r="R8" s="235"/>
      <c r="S8" s="235"/>
      <c r="T8" s="235"/>
      <c r="U8" s="235"/>
      <c r="V8" s="235"/>
      <c r="W8" s="235"/>
      <c r="X8" s="235"/>
      <c r="AA8" s="110">
        <v>6</v>
      </c>
      <c r="AB8" s="111" t="s">
        <v>66</v>
      </c>
      <c r="AC8" s="54" t="str">
        <f t="shared" si="0"/>
        <v>Edward</v>
      </c>
      <c r="AD8" s="54" t="str">
        <f t="shared" si="1"/>
        <v>Plasket</v>
      </c>
      <c r="AE8" s="55">
        <v>14</v>
      </c>
    </row>
    <row r="9" spans="2:31" ht="15" customHeight="1" x14ac:dyDescent="0.2">
      <c r="B9" s="64" t="s">
        <v>22</v>
      </c>
      <c r="C9" s="65">
        <v>1</v>
      </c>
      <c r="D9" s="66">
        <v>2</v>
      </c>
      <c r="E9" s="67">
        <v>3</v>
      </c>
      <c r="F9" s="65">
        <v>4</v>
      </c>
      <c r="G9" s="66">
        <v>5</v>
      </c>
      <c r="H9" s="67">
        <v>6</v>
      </c>
      <c r="I9" s="65">
        <v>7</v>
      </c>
      <c r="J9" s="66">
        <v>8</v>
      </c>
      <c r="K9" s="67">
        <v>9</v>
      </c>
      <c r="L9" s="61"/>
      <c r="O9" s="48" t="s">
        <v>210</v>
      </c>
      <c r="P9" s="61">
        <v>1</v>
      </c>
      <c r="Q9" s="61">
        <v>9</v>
      </c>
      <c r="R9" s="61">
        <v>7</v>
      </c>
      <c r="S9" s="61">
        <v>13</v>
      </c>
      <c r="T9" s="61">
        <v>15</v>
      </c>
      <c r="U9" s="61">
        <v>5</v>
      </c>
      <c r="V9" s="61">
        <v>11</v>
      </c>
      <c r="W9" s="61">
        <v>3</v>
      </c>
      <c r="X9" s="61">
        <v>17</v>
      </c>
      <c r="AA9" s="110">
        <v>7</v>
      </c>
      <c r="AB9" s="111" t="s">
        <v>24</v>
      </c>
      <c r="AC9" s="54" t="str">
        <f t="shared" si="0"/>
        <v>Ethan</v>
      </c>
      <c r="AD9" s="54" t="str">
        <f t="shared" si="1"/>
        <v>High</v>
      </c>
      <c r="AE9" s="55">
        <v>15</v>
      </c>
    </row>
    <row r="10" spans="2:31" x14ac:dyDescent="0.2">
      <c r="B10" s="68" t="s">
        <v>23</v>
      </c>
      <c r="C10" s="69">
        <v>4</v>
      </c>
      <c r="D10" s="61">
        <v>5</v>
      </c>
      <c r="E10" s="70">
        <v>3</v>
      </c>
      <c r="F10" s="69">
        <v>4</v>
      </c>
      <c r="G10" s="61">
        <v>5</v>
      </c>
      <c r="H10" s="70">
        <v>3</v>
      </c>
      <c r="I10" s="69">
        <v>4</v>
      </c>
      <c r="J10" s="61">
        <v>4</v>
      </c>
      <c r="K10" s="70">
        <v>4</v>
      </c>
      <c r="L10" s="61">
        <f>SUM(C10:K10)</f>
        <v>36</v>
      </c>
      <c r="O10" s="48" t="s">
        <v>14</v>
      </c>
      <c r="P10" s="61">
        <v>1</v>
      </c>
      <c r="Q10" s="61">
        <v>9</v>
      </c>
      <c r="R10" s="61">
        <v>7</v>
      </c>
      <c r="S10" s="61">
        <v>13</v>
      </c>
      <c r="T10" s="61">
        <v>15</v>
      </c>
      <c r="U10" s="61">
        <v>5</v>
      </c>
      <c r="V10" s="61">
        <v>11</v>
      </c>
      <c r="W10" s="61">
        <v>3</v>
      </c>
      <c r="X10" s="61">
        <v>17</v>
      </c>
      <c r="AA10" s="110">
        <v>15</v>
      </c>
      <c r="AB10" s="111" t="s">
        <v>67</v>
      </c>
      <c r="AC10" s="54" t="str">
        <f t="shared" si="0"/>
        <v>JD</v>
      </c>
      <c r="AD10" s="54" t="str">
        <f t="shared" si="1"/>
        <v>DeCaprio</v>
      </c>
      <c r="AE10" s="55">
        <v>26</v>
      </c>
    </row>
    <row r="11" spans="2:31" x14ac:dyDescent="0.2">
      <c r="B11" s="68" t="s">
        <v>27</v>
      </c>
      <c r="C11" s="69">
        <f t="array" ref="C11">_xlfn.IFS($J8="Back 9",VLOOKUP($G8,$O$15:$X$18,COLUMN()-1,0),$J8="Front 9",VLOOKUP($G8,$O$9:$X$12,COLUMN()-1,0))</f>
        <v>1</v>
      </c>
      <c r="D11" s="61">
        <f t="array" ref="D11">_xlfn.IFS($J8="Back 9",VLOOKUP($G8,$O$15:$X$18,COLUMN()-1,0),$J8="Front 9",VLOOKUP($G8,$O$9:$X$12,COLUMN()-1,0))</f>
        <v>9</v>
      </c>
      <c r="E11" s="70">
        <f t="array" ref="E11">_xlfn.IFS($J8="Back 9",VLOOKUP($G8,$O$15:$X$18,COLUMN()-1,0),$J8="Front 9",VLOOKUP($G8,$O$9:$X$12,COLUMN()-1,0))</f>
        <v>7</v>
      </c>
      <c r="F11" s="69">
        <f t="array" ref="F11">_xlfn.IFS($J8="Back 9",VLOOKUP($G8,$O$15:$X$18,COLUMN()-1,0),$J8="Front 9",VLOOKUP($G8,$O$9:$X$12,COLUMN()-1,0))</f>
        <v>13</v>
      </c>
      <c r="G11" s="61">
        <f t="array" ref="G11">_xlfn.IFS($J8="Back 9",VLOOKUP($G8,$O$15:$X$18,COLUMN()-1,0),$J8="Front 9",VLOOKUP($G8,$O$9:$X$12,COLUMN()-1,0))</f>
        <v>15</v>
      </c>
      <c r="H11" s="70">
        <f t="array" ref="H11">_xlfn.IFS($J8="Back 9",VLOOKUP($G8,$O$15:$X$18,COLUMN()-1,0),$J8="Front 9",VLOOKUP($G8,$O$9:$X$12,COLUMN()-1,0))</f>
        <v>5</v>
      </c>
      <c r="I11" s="69">
        <f t="array" ref="I11">_xlfn.IFS($J8="Back 9",VLOOKUP($G8,$O$15:$X$18,COLUMN()-1,0),$J8="Front 9",VLOOKUP($G8,$O$9:$X$12,COLUMN()-1,0))</f>
        <v>11</v>
      </c>
      <c r="J11" s="61">
        <f t="array" ref="J11">_xlfn.IFS($J8="Back 9",VLOOKUP($G8,$O$15:$X$18,COLUMN()-1,0),$J8="Front 9",VLOOKUP($G8,$O$9:$X$12,COLUMN()-1,0))</f>
        <v>3</v>
      </c>
      <c r="K11" s="70">
        <f t="array" ref="K11">_xlfn.IFS($J8="Back 9",VLOOKUP($G8,$O$15:$X$18,COLUMN()-1,0),$J8="Front 9",VLOOKUP($G8,$O$9:$X$12,COLUMN()-1,0))</f>
        <v>17</v>
      </c>
      <c r="L11" s="61"/>
      <c r="O11" s="48" t="s">
        <v>253</v>
      </c>
      <c r="P11" s="61">
        <v>3</v>
      </c>
      <c r="Q11" s="61">
        <v>7</v>
      </c>
      <c r="R11" s="61">
        <v>13</v>
      </c>
      <c r="S11" s="61">
        <v>17</v>
      </c>
      <c r="T11" s="61">
        <v>15</v>
      </c>
      <c r="U11" s="61">
        <v>1</v>
      </c>
      <c r="V11" s="61">
        <v>11</v>
      </c>
      <c r="W11" s="61">
        <v>5</v>
      </c>
      <c r="X11" s="61">
        <v>9</v>
      </c>
      <c r="AA11" s="110">
        <v>18</v>
      </c>
      <c r="AB11" s="111" t="s">
        <v>254</v>
      </c>
      <c r="AC11" s="54" t="str">
        <f t="shared" si="0"/>
        <v>Katherine</v>
      </c>
      <c r="AD11" s="54" t="str">
        <f t="shared" si="1"/>
        <v>Plasket</v>
      </c>
      <c r="AE11" s="55">
        <v>36</v>
      </c>
    </row>
    <row r="12" spans="2:31" ht="15" customHeight="1" x14ac:dyDescent="0.2">
      <c r="B12" s="71" t="s">
        <v>30</v>
      </c>
      <c r="C12" s="113">
        <v>5</v>
      </c>
      <c r="D12" s="114">
        <v>6</v>
      </c>
      <c r="E12" s="115">
        <v>4</v>
      </c>
      <c r="F12" s="113">
        <v>5</v>
      </c>
      <c r="G12" s="114">
        <v>6</v>
      </c>
      <c r="H12" s="115">
        <v>4</v>
      </c>
      <c r="I12" s="113">
        <v>5</v>
      </c>
      <c r="J12" s="114">
        <v>5</v>
      </c>
      <c r="K12" s="115">
        <v>5</v>
      </c>
      <c r="L12" s="61">
        <f>SUM(C12:K12)</f>
        <v>45</v>
      </c>
      <c r="M12" s="72">
        <f>SUM(C12:K12)-SUM(C$10:K$10)</f>
        <v>9</v>
      </c>
      <c r="O12" s="48" t="s">
        <v>26</v>
      </c>
      <c r="P12" s="61">
        <v>1</v>
      </c>
      <c r="Q12" s="61">
        <v>7</v>
      </c>
      <c r="R12" s="61">
        <v>11</v>
      </c>
      <c r="S12" s="61">
        <v>13</v>
      </c>
      <c r="T12" s="61">
        <v>15</v>
      </c>
      <c r="U12" s="61">
        <v>9</v>
      </c>
      <c r="V12" s="61">
        <v>17</v>
      </c>
      <c r="W12" s="61">
        <v>3</v>
      </c>
      <c r="X12" s="61">
        <v>5</v>
      </c>
      <c r="AA12" s="110">
        <v>14</v>
      </c>
      <c r="AB12" s="111" t="s">
        <v>72</v>
      </c>
      <c r="AC12" s="54" t="str">
        <f t="shared" si="0"/>
        <v>Kevin</v>
      </c>
      <c r="AD12" s="54" t="str">
        <f t="shared" si="1"/>
        <v>Edwards</v>
      </c>
      <c r="AE12" s="55">
        <v>25</v>
      </c>
    </row>
    <row r="13" spans="2:31" x14ac:dyDescent="0.2">
      <c r="B13" s="68" t="s">
        <v>33</v>
      </c>
      <c r="C13" s="69">
        <v>5</v>
      </c>
      <c r="D13" s="61">
        <v>6</v>
      </c>
      <c r="E13" s="70">
        <v>4</v>
      </c>
      <c r="F13" s="69">
        <v>5</v>
      </c>
      <c r="G13" s="61">
        <v>6</v>
      </c>
      <c r="H13" s="70">
        <v>4</v>
      </c>
      <c r="I13" s="69">
        <v>5</v>
      </c>
      <c r="J13" s="61">
        <v>5</v>
      </c>
      <c r="K13" s="70">
        <v>5</v>
      </c>
      <c r="L13" s="72"/>
      <c r="AA13" s="110">
        <v>8</v>
      </c>
      <c r="AB13" s="111" t="s">
        <v>63</v>
      </c>
      <c r="AC13" s="54" t="str">
        <f t="shared" si="0"/>
        <v>Marshall</v>
      </c>
      <c r="AD13" s="54" t="str">
        <f t="shared" si="1"/>
        <v>Thompson</v>
      </c>
      <c r="AE13" s="55">
        <v>15</v>
      </c>
    </row>
    <row r="14" spans="2:31" x14ac:dyDescent="0.2">
      <c r="B14" s="68" t="s">
        <v>35</v>
      </c>
      <c r="C14" s="69">
        <f>C12-C13</f>
        <v>0</v>
      </c>
      <c r="D14" s="61">
        <f t="shared" ref="D14:K14" si="2">D12-INT($D$8/18)-IF(D11&lt;=MOD($D$8,18),1,0)</f>
        <v>5</v>
      </c>
      <c r="E14" s="70">
        <f t="shared" si="2"/>
        <v>3</v>
      </c>
      <c r="F14" s="69">
        <f t="shared" si="2"/>
        <v>4</v>
      </c>
      <c r="G14" s="61">
        <f t="shared" si="2"/>
        <v>5</v>
      </c>
      <c r="H14" s="70">
        <f t="shared" si="2"/>
        <v>3</v>
      </c>
      <c r="I14" s="69">
        <f t="shared" si="2"/>
        <v>4</v>
      </c>
      <c r="J14" s="61">
        <f t="shared" si="2"/>
        <v>4</v>
      </c>
      <c r="K14" s="70">
        <f t="shared" si="2"/>
        <v>5</v>
      </c>
      <c r="L14" s="61">
        <f>SUM(C14:K14)</f>
        <v>33</v>
      </c>
      <c r="M14" s="72">
        <f>SUM(C14:K14)-SUM(C$10:K$10)</f>
        <v>-3</v>
      </c>
      <c r="O14" s="234" t="s">
        <v>21</v>
      </c>
      <c r="P14" s="235"/>
      <c r="Q14" s="235"/>
      <c r="R14" s="235"/>
      <c r="S14" s="235"/>
      <c r="T14" s="235"/>
      <c r="U14" s="235"/>
      <c r="V14" s="235"/>
      <c r="W14" s="235"/>
      <c r="X14" s="235"/>
      <c r="AA14" s="110">
        <v>12</v>
      </c>
      <c r="AB14" s="111" t="s">
        <v>71</v>
      </c>
      <c r="AC14" s="54" t="str">
        <f t="shared" si="0"/>
        <v>Mike</v>
      </c>
      <c r="AD14" s="54" t="str">
        <f t="shared" si="1"/>
        <v>Rider</v>
      </c>
      <c r="AE14" s="55">
        <v>22</v>
      </c>
    </row>
    <row r="15" spans="2:31" ht="14.25" customHeight="1" thickBot="1" x14ac:dyDescent="0.25">
      <c r="B15" s="74" t="s">
        <v>37</v>
      </c>
      <c r="C15" s="56">
        <f t="shared" ref="C15:K15" si="3">IF(C14&lt;C23,1,0)</f>
        <v>0</v>
      </c>
      <c r="D15" s="75">
        <f t="shared" si="3"/>
        <v>0</v>
      </c>
      <c r="E15" s="76">
        <f t="shared" si="3"/>
        <v>0</v>
      </c>
      <c r="F15" s="56">
        <f t="shared" si="3"/>
        <v>0</v>
      </c>
      <c r="G15" s="75">
        <f t="shared" si="3"/>
        <v>0</v>
      </c>
      <c r="H15" s="76">
        <f t="shared" si="3"/>
        <v>0</v>
      </c>
      <c r="I15" s="56">
        <f t="shared" si="3"/>
        <v>0</v>
      </c>
      <c r="J15" s="75">
        <f t="shared" si="3"/>
        <v>0</v>
      </c>
      <c r="K15" s="76">
        <f t="shared" si="3"/>
        <v>0</v>
      </c>
      <c r="L15" s="61"/>
      <c r="O15" s="48" t="s">
        <v>210</v>
      </c>
      <c r="P15" s="61">
        <v>12</v>
      </c>
      <c r="Q15" s="61">
        <v>2</v>
      </c>
      <c r="R15" s="61">
        <v>8</v>
      </c>
      <c r="S15" s="61">
        <v>6</v>
      </c>
      <c r="T15" s="61">
        <v>18</v>
      </c>
      <c r="U15" s="61">
        <v>14</v>
      </c>
      <c r="V15" s="61">
        <v>16</v>
      </c>
      <c r="W15" s="61">
        <v>10</v>
      </c>
      <c r="X15" s="61">
        <v>4</v>
      </c>
      <c r="AA15" s="110">
        <v>19</v>
      </c>
      <c r="AB15" s="111" t="s">
        <v>255</v>
      </c>
      <c r="AC15" s="54" t="str">
        <f t="shared" si="0"/>
        <v>Oscar</v>
      </c>
      <c r="AD15" s="54" t="str">
        <f t="shared" si="1"/>
        <v>Velasquez</v>
      </c>
      <c r="AE15" s="55">
        <v>36</v>
      </c>
    </row>
    <row r="16" spans="2:31" x14ac:dyDescent="0.2">
      <c r="C16" s="61"/>
      <c r="D16" s="61"/>
      <c r="E16" s="61"/>
      <c r="F16" s="61"/>
      <c r="G16" s="61"/>
      <c r="H16" s="61"/>
      <c r="I16" s="61"/>
      <c r="J16" s="61"/>
      <c r="K16" s="61"/>
      <c r="L16" s="61"/>
      <c r="O16" s="48" t="s">
        <v>14</v>
      </c>
      <c r="P16" s="61">
        <v>12</v>
      </c>
      <c r="Q16" s="61">
        <v>2</v>
      </c>
      <c r="R16" s="61">
        <v>8</v>
      </c>
      <c r="S16" s="61">
        <v>6</v>
      </c>
      <c r="T16" s="61">
        <v>18</v>
      </c>
      <c r="U16" s="61">
        <v>14</v>
      </c>
      <c r="V16" s="61">
        <v>16</v>
      </c>
      <c r="W16" s="61">
        <v>10</v>
      </c>
      <c r="X16" s="61">
        <v>4</v>
      </c>
      <c r="AA16" s="110">
        <v>10</v>
      </c>
      <c r="AB16" s="111" t="s">
        <v>68</v>
      </c>
      <c r="AC16" s="54" t="str">
        <f t="shared" si="0"/>
        <v>Pete</v>
      </c>
      <c r="AD16" s="54" t="str">
        <f t="shared" si="1"/>
        <v>Litterini</v>
      </c>
      <c r="AE16" s="55">
        <v>20</v>
      </c>
    </row>
    <row r="17" spans="2:31" ht="19.5" customHeight="1" thickBot="1" x14ac:dyDescent="0.25">
      <c r="B17" s="109" t="s">
        <v>69</v>
      </c>
      <c r="C17" s="62" t="s">
        <v>12</v>
      </c>
      <c r="D17" s="61">
        <f>IFERROR(VLOOKUP(B17,$AB$3:$AE$21,4,0),0)</f>
        <v>21</v>
      </c>
      <c r="E17" s="61"/>
      <c r="F17" s="61" t="s">
        <v>13</v>
      </c>
      <c r="G17" s="63" t="s">
        <v>210</v>
      </c>
      <c r="H17" s="61"/>
      <c r="I17" s="61" t="s">
        <v>15</v>
      </c>
      <c r="J17" s="63" t="s">
        <v>16</v>
      </c>
      <c r="K17" s="61"/>
      <c r="L17" s="61"/>
      <c r="O17" s="48" t="s">
        <v>253</v>
      </c>
      <c r="P17" s="61">
        <v>12</v>
      </c>
      <c r="Q17" s="61">
        <v>4</v>
      </c>
      <c r="R17" s="61">
        <v>10</v>
      </c>
      <c r="S17" s="61">
        <v>2</v>
      </c>
      <c r="T17" s="61">
        <v>16</v>
      </c>
      <c r="U17" s="61">
        <v>14</v>
      </c>
      <c r="V17" s="61">
        <v>18</v>
      </c>
      <c r="W17" s="61">
        <v>6</v>
      </c>
      <c r="X17" s="61">
        <v>8</v>
      </c>
      <c r="AA17" s="110">
        <v>9</v>
      </c>
      <c r="AB17" s="111" t="s">
        <v>64</v>
      </c>
      <c r="AC17" s="54" t="str">
        <f t="shared" si="0"/>
        <v>Stephen</v>
      </c>
      <c r="AD17" s="54" t="str">
        <f t="shared" si="1"/>
        <v>Keeler</v>
      </c>
      <c r="AE17" s="55">
        <v>15</v>
      </c>
    </row>
    <row r="18" spans="2:31" ht="15" customHeight="1" x14ac:dyDescent="0.2">
      <c r="B18" s="64" t="s">
        <v>22</v>
      </c>
      <c r="C18" s="65">
        <v>1</v>
      </c>
      <c r="D18" s="66">
        <v>2</v>
      </c>
      <c r="E18" s="67">
        <v>3</v>
      </c>
      <c r="F18" s="65">
        <v>4</v>
      </c>
      <c r="G18" s="66">
        <v>5</v>
      </c>
      <c r="H18" s="67">
        <v>6</v>
      </c>
      <c r="I18" s="65">
        <v>7</v>
      </c>
      <c r="J18" s="66">
        <v>8</v>
      </c>
      <c r="K18" s="67">
        <v>9</v>
      </c>
      <c r="L18" s="61"/>
      <c r="M18" s="72"/>
      <c r="O18" s="48" t="s">
        <v>26</v>
      </c>
      <c r="P18" s="61">
        <v>10</v>
      </c>
      <c r="Q18" s="61">
        <v>4</v>
      </c>
      <c r="R18" s="61">
        <v>8</v>
      </c>
      <c r="S18" s="61">
        <v>2</v>
      </c>
      <c r="T18" s="61">
        <v>16</v>
      </c>
      <c r="U18" s="61">
        <v>12</v>
      </c>
      <c r="V18" s="61">
        <v>18</v>
      </c>
      <c r="W18" s="61">
        <v>14</v>
      </c>
      <c r="X18" s="61">
        <v>6</v>
      </c>
      <c r="AA18" s="110">
        <v>1</v>
      </c>
      <c r="AB18" s="111" t="s">
        <v>58</v>
      </c>
      <c r="AC18" s="54" t="str">
        <f t="shared" si="0"/>
        <v>Timothy</v>
      </c>
      <c r="AD18" s="54" t="str">
        <f t="shared" si="1"/>
        <v>Hunter</v>
      </c>
      <c r="AE18" s="55">
        <v>9</v>
      </c>
    </row>
    <row r="19" spans="2:31" x14ac:dyDescent="0.2">
      <c r="B19" s="68" t="s">
        <v>23</v>
      </c>
      <c r="C19" s="69">
        <v>4</v>
      </c>
      <c r="D19" s="61">
        <v>5</v>
      </c>
      <c r="E19" s="70">
        <v>3</v>
      </c>
      <c r="F19" s="69">
        <v>4</v>
      </c>
      <c r="G19" s="61">
        <v>5</v>
      </c>
      <c r="H19" s="70">
        <v>3</v>
      </c>
      <c r="I19" s="69">
        <v>4</v>
      </c>
      <c r="J19" s="61">
        <v>4</v>
      </c>
      <c r="K19" s="70">
        <v>4</v>
      </c>
      <c r="L19" s="61">
        <f>SUM(C19:K19)</f>
        <v>36</v>
      </c>
      <c r="AA19" s="110">
        <v>3</v>
      </c>
      <c r="AB19" s="111" t="s">
        <v>61</v>
      </c>
      <c r="AC19" s="54" t="str">
        <f t="shared" si="0"/>
        <v>Vince</v>
      </c>
      <c r="AD19" s="54" t="str">
        <f t="shared" si="1"/>
        <v>Frasco</v>
      </c>
      <c r="AE19" s="55">
        <v>13</v>
      </c>
    </row>
    <row r="20" spans="2:31" x14ac:dyDescent="0.2">
      <c r="B20" s="68" t="s">
        <v>27</v>
      </c>
      <c r="C20" s="69">
        <f t="array" ref="C20">_xlfn.IFS($J17="Back 9",VLOOKUP($G17,$O$15:$X$18,COLUMN()-1,0),$J17="Front 9",VLOOKUP($G17,$O$9:$X$12,COLUMN()-1,0))</f>
        <v>1</v>
      </c>
      <c r="D20" s="61">
        <f t="array" ref="D20">_xlfn.IFS($J17="Back 9",VLOOKUP($G17,$O$15:$X$18,COLUMN()-1,0),$J17="Front 9",VLOOKUP($G17,$O$9:$X$12,COLUMN()-1,0))</f>
        <v>9</v>
      </c>
      <c r="E20" s="70">
        <f t="array" ref="E20">_xlfn.IFS($J17="Back 9",VLOOKUP($G17,$O$15:$X$18,COLUMN()-1,0),$J17="Front 9",VLOOKUP($G17,$O$9:$X$12,COLUMN()-1,0))</f>
        <v>7</v>
      </c>
      <c r="F20" s="69">
        <f t="array" ref="F20">_xlfn.IFS($J17="Back 9",VLOOKUP($G17,$O$15:$X$18,COLUMN()-1,0),$J17="Front 9",VLOOKUP($G17,$O$9:$X$12,COLUMN()-1,0))</f>
        <v>13</v>
      </c>
      <c r="G20" s="61">
        <f t="array" ref="G20">_xlfn.IFS($J17="Back 9",VLOOKUP($G17,$O$15:$X$18,COLUMN()-1,0),$J17="Front 9",VLOOKUP($G17,$O$9:$X$12,COLUMN()-1,0))</f>
        <v>15</v>
      </c>
      <c r="H20" s="70">
        <f t="array" ref="H20">_xlfn.IFS($J17="Back 9",VLOOKUP($G17,$O$15:$X$18,COLUMN()-1,0),$J17="Front 9",VLOOKUP($G17,$O$9:$X$12,COLUMN()-1,0))</f>
        <v>5</v>
      </c>
      <c r="I20" s="69">
        <f t="array" ref="I20">_xlfn.IFS($J17="Back 9",VLOOKUP($G17,$O$15:$X$18,COLUMN()-1,0),$J17="Front 9",VLOOKUP($G17,$O$9:$X$12,COLUMN()-1,0))</f>
        <v>11</v>
      </c>
      <c r="J20" s="61">
        <f t="array" ref="J20">_xlfn.IFS($J17="Back 9",VLOOKUP($G17,$O$15:$X$18,COLUMN()-1,0),$J17="Front 9",VLOOKUP($G17,$O$9:$X$12,COLUMN()-1,0))</f>
        <v>3</v>
      </c>
      <c r="K20" s="70">
        <f t="array" ref="K20">_xlfn.IFS($J17="Back 9",VLOOKUP($G17,$O$15:$X$18,COLUMN()-1,0),$J17="Front 9",VLOOKUP($G17,$O$9:$X$12,COLUMN()-1,0))</f>
        <v>17</v>
      </c>
      <c r="L20" s="61"/>
      <c r="AA20" s="110">
        <v>16</v>
      </c>
      <c r="AB20" s="111" t="s">
        <v>73</v>
      </c>
      <c r="AC20" s="54" t="str">
        <f t="shared" si="0"/>
        <v>William</v>
      </c>
      <c r="AD20" s="54" t="str">
        <f t="shared" si="1"/>
        <v>Bembenek</v>
      </c>
      <c r="AE20" s="55">
        <v>27</v>
      </c>
    </row>
    <row r="21" spans="2:31" ht="15" customHeight="1" x14ac:dyDescent="0.2">
      <c r="B21" s="71" t="s">
        <v>30</v>
      </c>
      <c r="C21" s="113">
        <v>5</v>
      </c>
      <c r="D21" s="114">
        <v>6</v>
      </c>
      <c r="E21" s="115">
        <v>4</v>
      </c>
      <c r="F21" s="113">
        <v>5</v>
      </c>
      <c r="G21" s="114">
        <v>6</v>
      </c>
      <c r="H21" s="115">
        <v>4</v>
      </c>
      <c r="I21" s="113">
        <v>5</v>
      </c>
      <c r="J21" s="114">
        <v>5</v>
      </c>
      <c r="K21" s="115">
        <v>5</v>
      </c>
      <c r="L21" s="61">
        <f>SUM(C21:K21)</f>
        <v>45</v>
      </c>
      <c r="M21" s="72">
        <f>SUM(C21:K21)-SUM(C$10:K$10)</f>
        <v>9</v>
      </c>
      <c r="AA21" s="110">
        <v>2</v>
      </c>
      <c r="AB21" s="111" t="s">
        <v>256</v>
      </c>
      <c r="AC21" s="54" t="str">
        <f t="shared" si="0"/>
        <v>William</v>
      </c>
      <c r="AD21" s="54" t="str">
        <f t="shared" si="1"/>
        <v>Plasket</v>
      </c>
      <c r="AE21" s="55">
        <v>11</v>
      </c>
    </row>
    <row r="22" spans="2:31" x14ac:dyDescent="0.2">
      <c r="B22" s="68" t="s">
        <v>33</v>
      </c>
      <c r="C22" s="69">
        <v>5</v>
      </c>
      <c r="D22" s="61">
        <v>6</v>
      </c>
      <c r="E22" s="70">
        <v>4</v>
      </c>
      <c r="F22" s="69">
        <v>5</v>
      </c>
      <c r="G22" s="61">
        <v>6</v>
      </c>
      <c r="H22" s="70">
        <v>4</v>
      </c>
      <c r="I22" s="69">
        <v>5</v>
      </c>
      <c r="J22" s="61">
        <v>5</v>
      </c>
      <c r="K22" s="70">
        <v>5</v>
      </c>
      <c r="L22" s="72"/>
    </row>
    <row r="23" spans="2:31" x14ac:dyDescent="0.2">
      <c r="B23" s="68" t="s">
        <v>35</v>
      </c>
      <c r="C23" s="69">
        <f t="shared" ref="C23:K23" si="4">C21-C22</f>
        <v>0</v>
      </c>
      <c r="D23" s="61">
        <f t="shared" si="4"/>
        <v>0</v>
      </c>
      <c r="E23" s="70">
        <f t="shared" si="4"/>
        <v>0</v>
      </c>
      <c r="F23" s="69">
        <f t="shared" si="4"/>
        <v>0</v>
      </c>
      <c r="G23" s="61">
        <f t="shared" si="4"/>
        <v>0</v>
      </c>
      <c r="H23" s="70">
        <f t="shared" si="4"/>
        <v>0</v>
      </c>
      <c r="I23" s="69">
        <f t="shared" si="4"/>
        <v>0</v>
      </c>
      <c r="J23" s="61">
        <f t="shared" si="4"/>
        <v>0</v>
      </c>
      <c r="K23" s="70">
        <f t="shared" si="4"/>
        <v>0</v>
      </c>
      <c r="L23" s="61">
        <f>SUM(C23:K23)</f>
        <v>0</v>
      </c>
      <c r="M23" s="72">
        <f>SUM(C23:K23)-SUM(C$10:K$10)</f>
        <v>-36</v>
      </c>
    </row>
    <row r="24" spans="2:31" ht="14.25" customHeight="1" thickBot="1" x14ac:dyDescent="0.25">
      <c r="B24" s="74" t="s">
        <v>37</v>
      </c>
      <c r="C24" s="56">
        <f t="shared" ref="C24:K24" si="5">IF(C23&lt;C14,1,0)</f>
        <v>0</v>
      </c>
      <c r="D24" s="75">
        <f t="shared" si="5"/>
        <v>1</v>
      </c>
      <c r="E24" s="76">
        <f t="shared" si="5"/>
        <v>1</v>
      </c>
      <c r="F24" s="56">
        <f t="shared" si="5"/>
        <v>1</v>
      </c>
      <c r="G24" s="75">
        <f t="shared" si="5"/>
        <v>1</v>
      </c>
      <c r="H24" s="76">
        <f t="shared" si="5"/>
        <v>1</v>
      </c>
      <c r="I24" s="56">
        <f t="shared" si="5"/>
        <v>1</v>
      </c>
      <c r="J24" s="75">
        <f t="shared" si="5"/>
        <v>1</v>
      </c>
      <c r="K24" s="76">
        <f t="shared" si="5"/>
        <v>1</v>
      </c>
      <c r="L24" s="61"/>
    </row>
  </sheetData>
  <autoFilter ref="AA2:AE21" xr:uid="{00000000-0009-0000-0000-000008000000}">
    <sortState xmlns:xlrd2="http://schemas.microsoft.com/office/spreadsheetml/2017/richdata2" ref="AA3:AE21">
      <sortCondition ref="AB2:AB21"/>
    </sortState>
  </autoFilter>
  <mergeCells count="9">
    <mergeCell ref="B3:B4"/>
    <mergeCell ref="B5:B6"/>
    <mergeCell ref="L3:M5"/>
    <mergeCell ref="J1:M1"/>
    <mergeCell ref="L2:M2"/>
    <mergeCell ref="O14:X14"/>
    <mergeCell ref="P8:X8"/>
    <mergeCell ref="J3:K5"/>
    <mergeCell ref="J2:K2"/>
  </mergeCells>
  <conditionalFormatting sqref="C15:K15 C24:K24">
    <cfRule type="cellIs" dxfId="1" priority="1" operator="greaterThan">
      <formula>0.5</formula>
    </cfRule>
  </conditionalFormatting>
  <dataValidations count="3">
    <dataValidation type="list" allowBlank="1" showInputMessage="1" showErrorMessage="1" sqref="G8 G17" xr:uid="{00000000-0002-0000-0800-000000000000}">
      <formula1>$O$9:$O$12</formula1>
    </dataValidation>
    <dataValidation type="list" allowBlank="1" showInputMessage="1" showErrorMessage="1" sqref="B8 B17" xr:uid="{00000000-0002-0000-0800-000001000000}">
      <formula1>$AB$3:$AB$21</formula1>
    </dataValidation>
    <dataValidation type="list" showInputMessage="1" showErrorMessage="1" sqref="J8 J17" xr:uid="{00000000-0002-0000-0800-000002000000}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BG24"/>
  <sheetViews>
    <sheetView tabSelected="1" zoomScaleNormal="100" workbookViewId="0">
      <selection activeCell="B2" sqref="B2:M24"/>
    </sheetView>
  </sheetViews>
  <sheetFormatPr defaultColWidth="9.85546875" defaultRowHeight="13.5" x14ac:dyDescent="0.2"/>
  <cols>
    <col min="1" max="1" width="2.5703125" style="117" customWidth="1"/>
    <col min="2" max="2" width="20.7109375" style="117" customWidth="1"/>
    <col min="3" max="8" width="9.85546875" style="117" customWidth="1"/>
    <col min="9" max="9" width="10.7109375" style="117" bestFit="1" customWidth="1"/>
    <col min="10" max="11" width="10.5703125" style="117" customWidth="1"/>
    <col min="12" max="13" width="10.85546875" style="117" customWidth="1"/>
    <col min="14" max="14" width="5.7109375" style="117" customWidth="1"/>
    <col min="15" max="15" width="11" style="117" bestFit="1" customWidth="1"/>
    <col min="16" max="16" width="16.5703125" style="117" bestFit="1" customWidth="1"/>
    <col min="17" max="17" width="8.85546875" style="117" bestFit="1" customWidth="1"/>
    <col min="18" max="19" width="4.5703125" style="117" customWidth="1"/>
    <col min="20" max="20" width="11" style="117" bestFit="1" customWidth="1"/>
    <col min="21" max="29" width="4" style="117" customWidth="1"/>
    <col min="30" max="30" width="10.42578125" style="117" bestFit="1" customWidth="1"/>
    <col min="31" max="39" width="4" style="117" customWidth="1"/>
    <col min="40" max="40" width="11" style="117" bestFit="1" customWidth="1"/>
    <col min="41" max="49" width="4" style="117" customWidth="1"/>
    <col min="50" max="50" width="10.42578125" style="117" bestFit="1" customWidth="1"/>
    <col min="51" max="59" width="4" style="117" customWidth="1"/>
    <col min="60" max="66" width="9.85546875" style="117" customWidth="1"/>
    <col min="67" max="16384" width="9.85546875" style="117"/>
  </cols>
  <sheetData>
    <row r="1" spans="2:59" ht="14.25" customHeight="1" thickBot="1" x14ac:dyDescent="0.25">
      <c r="B1" s="116" t="s">
        <v>0</v>
      </c>
      <c r="J1" s="190" t="s">
        <v>1</v>
      </c>
      <c r="K1" s="191"/>
      <c r="L1" s="191"/>
      <c r="M1" s="191"/>
    </row>
    <row r="2" spans="2:59" ht="24.95" customHeight="1" thickBot="1" x14ac:dyDescent="0.25">
      <c r="B2" s="172" t="s">
        <v>10</v>
      </c>
      <c r="D2" s="118" t="s">
        <v>3</v>
      </c>
      <c r="E2" s="118" t="s">
        <v>4</v>
      </c>
      <c r="F2" s="118" t="s">
        <v>5</v>
      </c>
      <c r="G2" s="118" t="s">
        <v>6</v>
      </c>
      <c r="H2" s="118" t="s">
        <v>7</v>
      </c>
      <c r="I2" s="119"/>
      <c r="J2" s="188" t="str">
        <f>B8</f>
        <v>Jerome Martin</v>
      </c>
      <c r="K2" s="179"/>
      <c r="L2" s="178" t="str">
        <f>B17</f>
        <v>Kaylan Adams</v>
      </c>
      <c r="M2" s="179"/>
    </row>
    <row r="3" spans="2:59" ht="14.25" customHeight="1" thickBot="1" x14ac:dyDescent="0.25">
      <c r="B3" s="189" t="str">
        <f>J2</f>
        <v>Jerome Martin</v>
      </c>
      <c r="C3" s="120" t="s">
        <v>8</v>
      </c>
      <c r="D3" s="121">
        <f>SUM(C15:E15)</f>
        <v>0</v>
      </c>
      <c r="E3" s="121">
        <f>SUM(F15:H15)</f>
        <v>0</v>
      </c>
      <c r="F3" s="121">
        <f>SUM(I15:K15)</f>
        <v>0</v>
      </c>
      <c r="G3" s="121">
        <f>SUM(C15:K15)</f>
        <v>0</v>
      </c>
      <c r="H3" s="121">
        <f>SUM(C14:K14)</f>
        <v>54</v>
      </c>
      <c r="J3" s="182">
        <f>SUM(D4:H4)</f>
        <v>4</v>
      </c>
      <c r="K3" s="183"/>
      <c r="L3" s="192">
        <f>SUM(D6:H6)</f>
        <v>4</v>
      </c>
      <c r="M3" s="183"/>
    </row>
    <row r="4" spans="2:59" ht="14.25" customHeight="1" thickBot="1" x14ac:dyDescent="0.25">
      <c r="B4" s="186"/>
      <c r="C4" s="125" t="s">
        <v>9</v>
      </c>
      <c r="D4" s="126">
        <f>IF(D3&gt;D5,2,IF(D3=D5,1,0))</f>
        <v>1</v>
      </c>
      <c r="E4" s="126">
        <f>IF(E3&gt;E5,2,IF(E3=E5,1,0))</f>
        <v>1</v>
      </c>
      <c r="F4" s="126">
        <f>IF(F3&gt;F5,2,IF(F3=F5,1,0))</f>
        <v>1</v>
      </c>
      <c r="G4" s="126">
        <f>IF(G3&gt;G5,1,IF(G3=G5,0.5,0))</f>
        <v>0.5</v>
      </c>
      <c r="H4" s="126">
        <f>IF(H3&lt;H5,1,IF(H3=H5,0.5,0))</f>
        <v>0.5</v>
      </c>
      <c r="J4" s="184"/>
      <c r="K4" s="185"/>
      <c r="L4" s="181"/>
      <c r="M4" s="185"/>
    </row>
    <row r="5" spans="2:59" ht="14.25" customHeight="1" thickBot="1" x14ac:dyDescent="0.25">
      <c r="B5" s="189" t="str">
        <f>L2</f>
        <v>Kaylan Adams</v>
      </c>
      <c r="C5" s="127" t="s">
        <v>8</v>
      </c>
      <c r="D5" s="128">
        <f>SUM(C24:E24)</f>
        <v>0</v>
      </c>
      <c r="E5" s="128">
        <f>SUM(F24:H24)</f>
        <v>0</v>
      </c>
      <c r="F5" s="128">
        <f>SUM(I24:K24)</f>
        <v>0</v>
      </c>
      <c r="G5" s="128">
        <f>SUM(C24:K24)</f>
        <v>0</v>
      </c>
      <c r="H5" s="128">
        <f>SUM(C23:K23)</f>
        <v>54</v>
      </c>
      <c r="J5" s="186"/>
      <c r="K5" s="187"/>
      <c r="L5" s="191"/>
      <c r="M5" s="187"/>
    </row>
    <row r="6" spans="2:59" ht="14.25" customHeight="1" thickBot="1" x14ac:dyDescent="0.25">
      <c r="B6" s="186"/>
      <c r="C6" s="125" t="s">
        <v>9</v>
      </c>
      <c r="D6" s="126">
        <f>IF(D5&gt;D3,2,IF(D5=D3,1,0))</f>
        <v>1</v>
      </c>
      <c r="E6" s="126">
        <f>IF(E5&gt;E3,2,IF(E5=E3,1,0))</f>
        <v>1</v>
      </c>
      <c r="F6" s="126">
        <f>IF(F5&gt;F3,2,IF(F5=F3,1,0))</f>
        <v>1</v>
      </c>
      <c r="G6" s="126">
        <f>IF(G5&gt;G3,1,IF(G5=G3,0.5,0))</f>
        <v>0.5</v>
      </c>
      <c r="H6" s="126">
        <f>IF(H5&lt;H3,1,IF(H5=H3,0.5,0))</f>
        <v>0.5</v>
      </c>
      <c r="J6" s="129"/>
      <c r="K6" s="129"/>
      <c r="L6" s="129"/>
      <c r="M6" s="129"/>
    </row>
    <row r="7" spans="2:59" x14ac:dyDescent="0.2">
      <c r="C7" s="129"/>
      <c r="D7" s="129"/>
      <c r="E7" s="129"/>
      <c r="F7" s="129"/>
      <c r="G7" s="129"/>
      <c r="H7" s="129"/>
      <c r="I7" s="129"/>
      <c r="J7" s="129"/>
      <c r="K7" s="129"/>
      <c r="L7" s="129"/>
      <c r="T7" s="180" t="s">
        <v>2</v>
      </c>
      <c r="U7" s="181"/>
      <c r="V7" s="181"/>
      <c r="W7" s="181"/>
      <c r="X7" s="181"/>
      <c r="Y7" s="181"/>
      <c r="Z7" s="181"/>
      <c r="AA7" s="181"/>
      <c r="AB7" s="181"/>
      <c r="AC7" s="181"/>
      <c r="AD7" s="181"/>
      <c r="AE7" s="181"/>
      <c r="AF7" s="181"/>
      <c r="AG7" s="181"/>
      <c r="AH7" s="181"/>
      <c r="AI7" s="181"/>
      <c r="AJ7" s="181"/>
      <c r="AK7" s="181"/>
      <c r="AL7" s="181"/>
      <c r="AM7" s="181"/>
      <c r="AN7" s="180" t="s">
        <v>10</v>
      </c>
      <c r="AO7" s="181"/>
      <c r="AP7" s="181"/>
      <c r="AQ7" s="181"/>
      <c r="AR7" s="181"/>
      <c r="AS7" s="181"/>
      <c r="AT7" s="181"/>
      <c r="AU7" s="181"/>
      <c r="AV7" s="181"/>
      <c r="AW7" s="181"/>
      <c r="AX7" s="181"/>
      <c r="AY7" s="181"/>
      <c r="AZ7" s="181"/>
      <c r="BA7" s="181"/>
      <c r="BB7" s="181"/>
      <c r="BC7" s="181"/>
      <c r="BD7" s="181"/>
      <c r="BE7" s="181"/>
      <c r="BF7" s="181"/>
      <c r="BG7" s="181"/>
    </row>
    <row r="8" spans="2:59" ht="16.5" customHeight="1" thickBot="1" x14ac:dyDescent="0.3">
      <c r="B8" s="145" t="s">
        <v>43</v>
      </c>
      <c r="C8" s="130" t="s">
        <v>12</v>
      </c>
      <c r="D8" s="129">
        <f>_xlfn.XLOOKUP(B8,$P$9:$P$23,$Q$9:$Q$23)</f>
        <v>36</v>
      </c>
      <c r="E8" s="129"/>
      <c r="F8" s="129" t="s">
        <v>13</v>
      </c>
      <c r="G8" s="173" t="s">
        <v>14</v>
      </c>
      <c r="H8" s="129"/>
      <c r="I8" s="129" t="s">
        <v>15</v>
      </c>
      <c r="J8" s="149" t="s">
        <v>16</v>
      </c>
      <c r="K8" s="129"/>
      <c r="L8" s="129"/>
      <c r="O8" s="143" t="s">
        <v>17</v>
      </c>
      <c r="P8" s="143" t="s">
        <v>18</v>
      </c>
      <c r="Q8" s="143" t="s">
        <v>19</v>
      </c>
      <c r="T8" s="117" t="s">
        <v>20</v>
      </c>
      <c r="U8" s="180" t="s">
        <v>16</v>
      </c>
      <c r="V8" s="181"/>
      <c r="W8" s="181"/>
      <c r="X8" s="181"/>
      <c r="Y8" s="181"/>
      <c r="Z8" s="181"/>
      <c r="AA8" s="181"/>
      <c r="AB8" s="181"/>
      <c r="AC8" s="181"/>
      <c r="AD8" s="180" t="s">
        <v>21</v>
      </c>
      <c r="AE8" s="181"/>
      <c r="AF8" s="181"/>
      <c r="AG8" s="181"/>
      <c r="AH8" s="181"/>
      <c r="AI8" s="181"/>
      <c r="AJ8" s="181"/>
      <c r="AK8" s="181"/>
      <c r="AL8" s="181"/>
      <c r="AM8" s="181"/>
      <c r="AN8" s="117" t="s">
        <v>20</v>
      </c>
      <c r="AO8" s="180" t="s">
        <v>16</v>
      </c>
      <c r="AP8" s="181"/>
      <c r="AQ8" s="181"/>
      <c r="AR8" s="181"/>
      <c r="AS8" s="181"/>
      <c r="AT8" s="181"/>
      <c r="AU8" s="181"/>
      <c r="AV8" s="181"/>
      <c r="AW8" s="181"/>
      <c r="AX8" s="180" t="s">
        <v>21</v>
      </c>
      <c r="AY8" s="181"/>
      <c r="AZ8" s="181"/>
      <c r="BA8" s="181"/>
      <c r="BB8" s="181"/>
      <c r="BC8" s="181"/>
      <c r="BD8" s="181"/>
      <c r="BE8" s="181"/>
      <c r="BF8" s="181"/>
      <c r="BG8" s="181"/>
    </row>
    <row r="9" spans="2:59" ht="15" customHeight="1" x14ac:dyDescent="0.25">
      <c r="B9" s="131" t="s">
        <v>22</v>
      </c>
      <c r="C9" s="132">
        <v>1</v>
      </c>
      <c r="D9" s="133">
        <v>2</v>
      </c>
      <c r="E9" s="134">
        <v>3</v>
      </c>
      <c r="F9" s="132">
        <v>4</v>
      </c>
      <c r="G9" s="133">
        <v>5</v>
      </c>
      <c r="H9" s="134">
        <v>6</v>
      </c>
      <c r="I9" s="132">
        <v>7</v>
      </c>
      <c r="J9" s="133">
        <v>8</v>
      </c>
      <c r="K9" s="134">
        <v>9</v>
      </c>
      <c r="L9" s="129"/>
      <c r="O9" s="122">
        <v>1</v>
      </c>
      <c r="P9" s="123" t="s">
        <v>11</v>
      </c>
      <c r="Q9" s="153">
        <f>Schedule!D15</f>
        <v>12</v>
      </c>
      <c r="T9" s="117" t="s">
        <v>14</v>
      </c>
      <c r="U9" s="129">
        <v>7</v>
      </c>
      <c r="V9" s="129">
        <v>15</v>
      </c>
      <c r="W9" s="129">
        <v>5</v>
      </c>
      <c r="X9" s="129">
        <v>13</v>
      </c>
      <c r="Y9" s="129">
        <v>3</v>
      </c>
      <c r="Z9" s="129">
        <v>11</v>
      </c>
      <c r="AA9" s="129">
        <v>17</v>
      </c>
      <c r="AB9" s="129">
        <v>9</v>
      </c>
      <c r="AC9" s="129">
        <v>1</v>
      </c>
      <c r="AD9" s="117" t="s">
        <v>14</v>
      </c>
      <c r="AE9" s="129">
        <v>4</v>
      </c>
      <c r="AF9" s="129">
        <v>12</v>
      </c>
      <c r="AG9" s="129">
        <v>14</v>
      </c>
      <c r="AH9" s="129">
        <v>6</v>
      </c>
      <c r="AI9" s="129">
        <v>16</v>
      </c>
      <c r="AJ9" s="129">
        <v>8</v>
      </c>
      <c r="AK9" s="129">
        <v>18</v>
      </c>
      <c r="AL9" s="129">
        <v>2</v>
      </c>
      <c r="AM9" s="129">
        <v>10</v>
      </c>
      <c r="AN9" s="117" t="s">
        <v>14</v>
      </c>
      <c r="AO9" s="129">
        <v>7</v>
      </c>
      <c r="AP9" s="129">
        <v>17</v>
      </c>
      <c r="AQ9" s="129">
        <v>15</v>
      </c>
      <c r="AR9" s="129">
        <v>1</v>
      </c>
      <c r="AS9" s="129">
        <v>11</v>
      </c>
      <c r="AT9" s="129">
        <v>9</v>
      </c>
      <c r="AU9" s="129">
        <v>13</v>
      </c>
      <c r="AV9" s="129">
        <v>5</v>
      </c>
      <c r="AW9" s="129">
        <v>3</v>
      </c>
      <c r="AX9" s="117" t="s">
        <v>14</v>
      </c>
      <c r="AY9" s="129">
        <v>14</v>
      </c>
      <c r="AZ9" s="129">
        <v>8</v>
      </c>
      <c r="BA9" s="129">
        <v>6</v>
      </c>
      <c r="BB9" s="129">
        <v>4</v>
      </c>
      <c r="BC9" s="129">
        <v>16</v>
      </c>
      <c r="BD9" s="129">
        <v>2</v>
      </c>
      <c r="BE9" s="129">
        <v>10</v>
      </c>
      <c r="BF9" s="129">
        <v>12</v>
      </c>
      <c r="BG9" s="129">
        <v>18</v>
      </c>
    </row>
    <row r="10" spans="2:59" x14ac:dyDescent="0.25">
      <c r="B10" s="135" t="s">
        <v>23</v>
      </c>
      <c r="C10" s="129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9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5</v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3</v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4</v>
      </c>
      <c r="G10" s="129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3</v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5</v>
      </c>
      <c r="J10" s="129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4</v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9">
        <f>SUM(C10:K10)</f>
        <v>36</v>
      </c>
      <c r="O10" s="122">
        <v>2</v>
      </c>
      <c r="P10" s="123" t="s">
        <v>24</v>
      </c>
      <c r="Q10" s="153">
        <f>Schedule!D16</f>
        <v>12</v>
      </c>
      <c r="T10" s="117" t="s">
        <v>25</v>
      </c>
      <c r="U10" s="129">
        <v>7</v>
      </c>
      <c r="V10" s="129">
        <v>15</v>
      </c>
      <c r="W10" s="129">
        <v>5</v>
      </c>
      <c r="X10" s="129">
        <v>13</v>
      </c>
      <c r="Y10" s="129">
        <v>3</v>
      </c>
      <c r="Z10" s="129">
        <v>11</v>
      </c>
      <c r="AA10" s="129">
        <v>17</v>
      </c>
      <c r="AB10" s="129">
        <v>9</v>
      </c>
      <c r="AC10" s="129">
        <v>1</v>
      </c>
      <c r="AD10" s="117" t="s">
        <v>25</v>
      </c>
      <c r="AE10" s="129">
        <v>4</v>
      </c>
      <c r="AF10" s="129">
        <v>12</v>
      </c>
      <c r="AG10" s="129">
        <v>14</v>
      </c>
      <c r="AH10" s="129">
        <v>6</v>
      </c>
      <c r="AI10" s="129">
        <v>16</v>
      </c>
      <c r="AJ10" s="129">
        <v>8</v>
      </c>
      <c r="AK10" s="129">
        <v>18</v>
      </c>
      <c r="AL10" s="129">
        <v>2</v>
      </c>
      <c r="AM10" s="129">
        <v>10</v>
      </c>
      <c r="AN10" s="117" t="s">
        <v>26</v>
      </c>
      <c r="AO10" s="129">
        <v>7</v>
      </c>
      <c r="AP10" s="129">
        <v>17</v>
      </c>
      <c r="AQ10" s="129">
        <v>15</v>
      </c>
      <c r="AR10" s="129">
        <v>1</v>
      </c>
      <c r="AS10" s="129">
        <v>11</v>
      </c>
      <c r="AT10" s="129">
        <v>9</v>
      </c>
      <c r="AU10" s="129">
        <v>13</v>
      </c>
      <c r="AV10" s="129">
        <v>5</v>
      </c>
      <c r="AW10" s="129">
        <v>3</v>
      </c>
      <c r="AX10" s="117" t="s">
        <v>26</v>
      </c>
      <c r="AY10" s="129">
        <v>14</v>
      </c>
      <c r="AZ10" s="129">
        <v>8</v>
      </c>
      <c r="BA10" s="129">
        <v>6</v>
      </c>
      <c r="BB10" s="129">
        <v>4</v>
      </c>
      <c r="BC10" s="129">
        <v>16</v>
      </c>
      <c r="BD10" s="129">
        <v>2</v>
      </c>
      <c r="BE10" s="129">
        <v>10</v>
      </c>
      <c r="BF10" s="129">
        <v>12</v>
      </c>
      <c r="BG10" s="129">
        <v>18</v>
      </c>
    </row>
    <row r="11" spans="2:59" x14ac:dyDescent="0.25">
      <c r="B11" s="135" t="s">
        <v>27</v>
      </c>
      <c r="C11" s="129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9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G11" s="129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J11" s="129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L11" s="129"/>
      <c r="O11" s="122">
        <f>O10+1</f>
        <v>3</v>
      </c>
      <c r="P11" s="123" t="s">
        <v>28</v>
      </c>
      <c r="Q11" s="153">
        <f>Schedule!D17</f>
        <v>15</v>
      </c>
      <c r="T11" s="117" t="s">
        <v>29</v>
      </c>
      <c r="U11" s="129">
        <v>17</v>
      </c>
      <c r="V11" s="129">
        <v>9</v>
      </c>
      <c r="W11" s="129">
        <v>5</v>
      </c>
      <c r="X11" s="129">
        <v>7</v>
      </c>
      <c r="Y11" s="129">
        <v>3</v>
      </c>
      <c r="Z11" s="129">
        <v>15</v>
      </c>
      <c r="AA11" s="129">
        <v>11</v>
      </c>
      <c r="AB11" s="129">
        <v>13</v>
      </c>
      <c r="AC11" s="129">
        <v>1</v>
      </c>
      <c r="AD11" s="117" t="s">
        <v>29</v>
      </c>
      <c r="AE11" s="129">
        <v>4</v>
      </c>
      <c r="AF11" s="129">
        <v>10</v>
      </c>
      <c r="AG11" s="129">
        <v>14</v>
      </c>
      <c r="AH11" s="129">
        <v>6</v>
      </c>
      <c r="AI11" s="129">
        <v>16</v>
      </c>
      <c r="AJ11" s="129">
        <v>12</v>
      </c>
      <c r="AK11" s="129">
        <v>18</v>
      </c>
      <c r="AL11" s="129">
        <v>2</v>
      </c>
      <c r="AM11" s="129">
        <v>8</v>
      </c>
      <c r="AN11" s="117" t="s">
        <v>29</v>
      </c>
      <c r="AO11" s="129">
        <v>7</v>
      </c>
      <c r="AP11" s="129">
        <v>17</v>
      </c>
      <c r="AQ11" s="129">
        <v>15</v>
      </c>
      <c r="AR11" s="129">
        <v>1</v>
      </c>
      <c r="AS11" s="129">
        <v>11</v>
      </c>
      <c r="AT11" s="129">
        <v>9</v>
      </c>
      <c r="AU11" s="129">
        <v>13</v>
      </c>
      <c r="AV11" s="129">
        <v>5</v>
      </c>
      <c r="AW11" s="129">
        <v>3</v>
      </c>
      <c r="AX11" s="117" t="s">
        <v>29</v>
      </c>
      <c r="AY11" s="129">
        <v>14</v>
      </c>
      <c r="AZ11" s="129">
        <v>8</v>
      </c>
      <c r="BA11" s="129">
        <v>6</v>
      </c>
      <c r="BB11" s="129">
        <v>4</v>
      </c>
      <c r="BC11" s="129">
        <v>16</v>
      </c>
      <c r="BD11" s="129">
        <v>2</v>
      </c>
      <c r="BE11" s="129">
        <v>10</v>
      </c>
      <c r="BF11" s="129">
        <v>12</v>
      </c>
      <c r="BG11" s="129">
        <v>18</v>
      </c>
    </row>
    <row r="12" spans="2:59" ht="15" customHeight="1" x14ac:dyDescent="0.25">
      <c r="B12" s="138" t="s">
        <v>30</v>
      </c>
      <c r="C12" s="146">
        <v>8</v>
      </c>
      <c r="D12" s="147">
        <v>6</v>
      </c>
      <c r="E12" s="148">
        <v>8</v>
      </c>
      <c r="F12" s="146">
        <v>10</v>
      </c>
      <c r="G12" s="147">
        <v>8</v>
      </c>
      <c r="H12" s="148">
        <v>8</v>
      </c>
      <c r="I12" s="146">
        <v>6</v>
      </c>
      <c r="J12" s="147">
        <v>10</v>
      </c>
      <c r="K12" s="148">
        <v>8</v>
      </c>
      <c r="L12" s="129">
        <f>SUM(C12:K12)</f>
        <v>72</v>
      </c>
      <c r="M12" s="139">
        <f>SUM(C12:K12)-SUM(C$10:K$10)</f>
        <v>36</v>
      </c>
      <c r="O12" s="122">
        <v>4</v>
      </c>
      <c r="P12" s="123" t="s">
        <v>31</v>
      </c>
      <c r="Q12" s="153">
        <f>Schedule!D18</f>
        <v>20</v>
      </c>
      <c r="T12" s="117" t="s">
        <v>32</v>
      </c>
      <c r="U12" s="144">
        <v>4</v>
      </c>
      <c r="V12" s="144">
        <v>3</v>
      </c>
      <c r="W12" s="144">
        <v>4</v>
      </c>
      <c r="X12" s="144">
        <v>5</v>
      </c>
      <c r="Y12" s="144">
        <v>4</v>
      </c>
      <c r="Z12" s="144">
        <v>4</v>
      </c>
      <c r="AA12" s="144">
        <v>3</v>
      </c>
      <c r="AB12" s="144">
        <v>5</v>
      </c>
      <c r="AC12" s="144">
        <v>4</v>
      </c>
      <c r="AD12" s="117" t="s">
        <v>32</v>
      </c>
      <c r="AE12" s="144">
        <v>4</v>
      </c>
      <c r="AF12" s="144">
        <v>5</v>
      </c>
      <c r="AG12" s="144">
        <v>4</v>
      </c>
      <c r="AH12" s="144">
        <v>4</v>
      </c>
      <c r="AI12" s="144">
        <v>3</v>
      </c>
      <c r="AJ12" s="144">
        <v>4</v>
      </c>
      <c r="AK12" s="144">
        <v>3</v>
      </c>
      <c r="AL12" s="144">
        <v>4</v>
      </c>
      <c r="AM12" s="144">
        <v>5</v>
      </c>
      <c r="AN12" s="117" t="s">
        <v>32</v>
      </c>
      <c r="AO12" s="144">
        <v>4</v>
      </c>
      <c r="AP12" s="144">
        <v>5</v>
      </c>
      <c r="AQ12" s="144">
        <v>3</v>
      </c>
      <c r="AR12" s="144">
        <v>4</v>
      </c>
      <c r="AS12" s="144">
        <v>4</v>
      </c>
      <c r="AT12" s="144">
        <v>3</v>
      </c>
      <c r="AU12" s="144">
        <v>5</v>
      </c>
      <c r="AV12" s="144">
        <v>4</v>
      </c>
      <c r="AW12" s="144">
        <v>4</v>
      </c>
      <c r="AX12" s="117" t="s">
        <v>32</v>
      </c>
      <c r="AY12" s="144">
        <v>4</v>
      </c>
      <c r="AZ12" s="144">
        <v>3</v>
      </c>
      <c r="BA12" s="144">
        <v>5</v>
      </c>
      <c r="BB12" s="144">
        <v>4</v>
      </c>
      <c r="BC12" s="144">
        <v>4</v>
      </c>
      <c r="BD12" s="144">
        <v>4</v>
      </c>
      <c r="BE12" s="144">
        <v>4</v>
      </c>
      <c r="BF12" s="144">
        <v>3</v>
      </c>
      <c r="BG12" s="144">
        <v>5</v>
      </c>
    </row>
    <row r="13" spans="2:59" x14ac:dyDescent="0.25">
      <c r="B13" s="135" t="s">
        <v>33</v>
      </c>
      <c r="C13" s="136">
        <f t="shared" ref="C13:K13" si="0">INT($D$8/18)+IF(C11&lt;=MOD($D$8,18),1,0)</f>
        <v>2</v>
      </c>
      <c r="D13" s="129">
        <f t="shared" si="0"/>
        <v>2</v>
      </c>
      <c r="E13" s="137">
        <f t="shared" si="0"/>
        <v>2</v>
      </c>
      <c r="F13" s="136">
        <f t="shared" si="0"/>
        <v>2</v>
      </c>
      <c r="G13" s="129">
        <f t="shared" si="0"/>
        <v>2</v>
      </c>
      <c r="H13" s="137">
        <f t="shared" si="0"/>
        <v>2</v>
      </c>
      <c r="I13" s="136">
        <f t="shared" si="0"/>
        <v>2</v>
      </c>
      <c r="J13" s="129">
        <f t="shared" si="0"/>
        <v>2</v>
      </c>
      <c r="K13" s="137">
        <f t="shared" si="0"/>
        <v>2</v>
      </c>
      <c r="L13" s="139"/>
      <c r="O13" s="122">
        <v>5</v>
      </c>
      <c r="P13" s="123" t="s">
        <v>34</v>
      </c>
      <c r="Q13" s="153">
        <f>Schedule!D19</f>
        <v>22</v>
      </c>
    </row>
    <row r="14" spans="2:59" x14ac:dyDescent="0.25">
      <c r="B14" s="135" t="s">
        <v>35</v>
      </c>
      <c r="C14" s="136">
        <f>C12-C13</f>
        <v>6</v>
      </c>
      <c r="D14" s="129">
        <f t="shared" ref="D14:K14" si="1">D12-INT($D$8/18)-IF(D11&lt;=MOD($D$8,18),1,0)</f>
        <v>4</v>
      </c>
      <c r="E14" s="137">
        <f t="shared" si="1"/>
        <v>6</v>
      </c>
      <c r="F14" s="136">
        <f t="shared" si="1"/>
        <v>8</v>
      </c>
      <c r="G14" s="129">
        <f t="shared" si="1"/>
        <v>6</v>
      </c>
      <c r="H14" s="137">
        <f t="shared" si="1"/>
        <v>6</v>
      </c>
      <c r="I14" s="136">
        <f t="shared" si="1"/>
        <v>4</v>
      </c>
      <c r="J14" s="129">
        <f t="shared" si="1"/>
        <v>8</v>
      </c>
      <c r="K14" s="137">
        <f t="shared" si="1"/>
        <v>6</v>
      </c>
      <c r="L14" s="155">
        <f>SUM(C14:K14)</f>
        <v>54</v>
      </c>
      <c r="M14" s="139">
        <f>SUM(C14:K14)-SUM(C$10:K$10)</f>
        <v>18</v>
      </c>
      <c r="O14" s="122">
        <v>6</v>
      </c>
      <c r="P14" s="123" t="s">
        <v>36</v>
      </c>
      <c r="Q14" s="153">
        <f>Schedule!D20</f>
        <v>24</v>
      </c>
    </row>
    <row r="15" spans="2:59" ht="14.25" customHeight="1" thickBot="1" x14ac:dyDescent="0.3">
      <c r="B15" s="140" t="s">
        <v>37</v>
      </c>
      <c r="C15" s="124">
        <f t="shared" ref="C15:K15" si="2">IF(C14&lt;C23,1,0)</f>
        <v>0</v>
      </c>
      <c r="D15" s="141">
        <f t="shared" si="2"/>
        <v>0</v>
      </c>
      <c r="E15" s="142">
        <f t="shared" si="2"/>
        <v>0</v>
      </c>
      <c r="F15" s="124">
        <f t="shared" si="2"/>
        <v>0</v>
      </c>
      <c r="G15" s="141">
        <f t="shared" si="2"/>
        <v>0</v>
      </c>
      <c r="H15" s="142">
        <f t="shared" si="2"/>
        <v>0</v>
      </c>
      <c r="I15" s="124">
        <f t="shared" si="2"/>
        <v>0</v>
      </c>
      <c r="J15" s="141">
        <f t="shared" si="2"/>
        <v>0</v>
      </c>
      <c r="K15" s="142">
        <f t="shared" si="2"/>
        <v>0</v>
      </c>
      <c r="L15" s="129"/>
      <c r="O15" s="122">
        <f>O14+1</f>
        <v>7</v>
      </c>
      <c r="P15" s="123" t="s">
        <v>38</v>
      </c>
      <c r="Q15" s="153">
        <f>Schedule!D21</f>
        <v>27</v>
      </c>
    </row>
    <row r="16" spans="2:59" x14ac:dyDescent="0.25"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O16" s="122">
        <v>8</v>
      </c>
      <c r="P16" s="123" t="s">
        <v>39</v>
      </c>
      <c r="Q16" s="153">
        <f>Schedule!D22</f>
        <v>28</v>
      </c>
    </row>
    <row r="17" spans="2:17" ht="16.5" customHeight="1" thickBot="1" x14ac:dyDescent="0.3">
      <c r="B17" s="145" t="s">
        <v>44</v>
      </c>
      <c r="C17" s="130" t="s">
        <v>12</v>
      </c>
      <c r="D17" s="129">
        <f>_xlfn.XLOOKUP(B17,$P$9:$P$23,$Q$9:$Q$23)</f>
        <v>36</v>
      </c>
      <c r="E17" s="129"/>
      <c r="F17" s="129" t="s">
        <v>13</v>
      </c>
      <c r="G17" s="173" t="s">
        <v>14</v>
      </c>
      <c r="H17" s="129"/>
      <c r="I17" s="129" t="s">
        <v>15</v>
      </c>
      <c r="J17" s="129" t="str">
        <f>J8</f>
        <v>Front 9</v>
      </c>
      <c r="K17" s="129"/>
      <c r="L17" s="129"/>
      <c r="O17" s="122">
        <v>9</v>
      </c>
      <c r="P17" s="123" t="s">
        <v>40</v>
      </c>
      <c r="Q17" s="153">
        <f>Schedule!D23</f>
        <v>30</v>
      </c>
    </row>
    <row r="18" spans="2:17" ht="15" customHeight="1" x14ac:dyDescent="0.25">
      <c r="B18" s="131" t="s">
        <v>22</v>
      </c>
      <c r="C18" s="132">
        <v>1</v>
      </c>
      <c r="D18" s="133">
        <v>2</v>
      </c>
      <c r="E18" s="134">
        <v>3</v>
      </c>
      <c r="F18" s="132">
        <v>4</v>
      </c>
      <c r="G18" s="133">
        <v>5</v>
      </c>
      <c r="H18" s="134">
        <v>6</v>
      </c>
      <c r="I18" s="132">
        <v>7</v>
      </c>
      <c r="J18" s="133">
        <v>8</v>
      </c>
      <c r="K18" s="134">
        <v>9</v>
      </c>
      <c r="L18" s="129"/>
      <c r="M18" s="139"/>
      <c r="O18" s="122">
        <v>10</v>
      </c>
      <c r="P18" s="123" t="s">
        <v>41</v>
      </c>
      <c r="Q18" s="153">
        <f>Schedule!D24</f>
        <v>36</v>
      </c>
    </row>
    <row r="19" spans="2:17" x14ac:dyDescent="0.25">
      <c r="B19" s="135" t="s">
        <v>23</v>
      </c>
      <c r="C19" s="129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9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5</v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3</v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4</v>
      </c>
      <c r="G19" s="129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3</v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5</v>
      </c>
      <c r="J19" s="129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4</v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9">
        <f>SUM(C19:K19)</f>
        <v>36</v>
      </c>
      <c r="O19" s="122">
        <f>O18+1</f>
        <v>11</v>
      </c>
      <c r="P19" s="123" t="s">
        <v>42</v>
      </c>
      <c r="Q19" s="153">
        <f>Schedule!D25</f>
        <v>36</v>
      </c>
    </row>
    <row r="20" spans="2:17" x14ac:dyDescent="0.25">
      <c r="B20" s="135" t="s">
        <v>27</v>
      </c>
      <c r="C20" s="129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D20" s="129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G20" s="129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J20" s="129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L20" s="129"/>
      <c r="O20" s="122">
        <v>12</v>
      </c>
      <c r="P20" s="123" t="s">
        <v>43</v>
      </c>
      <c r="Q20" s="153">
        <f>Schedule!D26</f>
        <v>36</v>
      </c>
    </row>
    <row r="21" spans="2:17" ht="15" customHeight="1" x14ac:dyDescent="0.25">
      <c r="B21" s="138" t="s">
        <v>30</v>
      </c>
      <c r="C21" s="146">
        <v>8</v>
      </c>
      <c r="D21" s="147">
        <v>6</v>
      </c>
      <c r="E21" s="148">
        <v>8</v>
      </c>
      <c r="F21" s="146">
        <v>10</v>
      </c>
      <c r="G21" s="147">
        <v>8</v>
      </c>
      <c r="H21" s="148">
        <v>8</v>
      </c>
      <c r="I21" s="146">
        <v>6</v>
      </c>
      <c r="J21" s="147">
        <v>10</v>
      </c>
      <c r="K21" s="148">
        <v>8</v>
      </c>
      <c r="L21" s="129">
        <f>SUM(C21:K21)</f>
        <v>72</v>
      </c>
      <c r="M21" s="139">
        <f>SUM(C21:K21)-SUM(C$10:K$10)</f>
        <v>36</v>
      </c>
      <c r="O21" s="122">
        <v>13</v>
      </c>
      <c r="P21" s="123" t="s">
        <v>44</v>
      </c>
      <c r="Q21" s="153">
        <f>Schedule!D27</f>
        <v>36</v>
      </c>
    </row>
    <row r="22" spans="2:17" x14ac:dyDescent="0.25">
      <c r="B22" s="135" t="s">
        <v>33</v>
      </c>
      <c r="C22" s="136">
        <f t="shared" ref="C22:K22" si="3">INT($D$17/18)+IF(C20&lt;=MOD($D$17,18),1,0)</f>
        <v>2</v>
      </c>
      <c r="D22" s="129">
        <f t="shared" si="3"/>
        <v>2</v>
      </c>
      <c r="E22" s="137">
        <f t="shared" si="3"/>
        <v>2</v>
      </c>
      <c r="F22" s="136">
        <f t="shared" si="3"/>
        <v>2</v>
      </c>
      <c r="G22" s="129">
        <f t="shared" si="3"/>
        <v>2</v>
      </c>
      <c r="H22" s="137">
        <f t="shared" si="3"/>
        <v>2</v>
      </c>
      <c r="I22" s="136">
        <f t="shared" si="3"/>
        <v>2</v>
      </c>
      <c r="J22" s="129">
        <f t="shared" si="3"/>
        <v>2</v>
      </c>
      <c r="K22" s="137">
        <f t="shared" si="3"/>
        <v>2</v>
      </c>
      <c r="L22" s="139"/>
      <c r="O22" s="122">
        <v>14</v>
      </c>
      <c r="P22" s="123" t="s">
        <v>45</v>
      </c>
      <c r="Q22" s="153">
        <f>Schedule!D28</f>
        <v>36</v>
      </c>
    </row>
    <row r="23" spans="2:17" x14ac:dyDescent="0.25">
      <c r="B23" s="135" t="s">
        <v>35</v>
      </c>
      <c r="C23" s="136">
        <f t="shared" ref="C23:K23" si="4">C21-C22</f>
        <v>6</v>
      </c>
      <c r="D23" s="129">
        <f t="shared" si="4"/>
        <v>4</v>
      </c>
      <c r="E23" s="137">
        <f t="shared" si="4"/>
        <v>6</v>
      </c>
      <c r="F23" s="136">
        <f t="shared" si="4"/>
        <v>8</v>
      </c>
      <c r="G23" s="129">
        <f t="shared" si="4"/>
        <v>6</v>
      </c>
      <c r="H23" s="137">
        <f t="shared" si="4"/>
        <v>6</v>
      </c>
      <c r="I23" s="136">
        <f t="shared" si="4"/>
        <v>4</v>
      </c>
      <c r="J23" s="129">
        <f t="shared" si="4"/>
        <v>8</v>
      </c>
      <c r="K23" s="137">
        <f t="shared" si="4"/>
        <v>6</v>
      </c>
      <c r="L23" s="155">
        <f>SUM(C23:K23)</f>
        <v>54</v>
      </c>
      <c r="M23" s="139">
        <f>SUM(C23:K23)-SUM(C$10:K$10)</f>
        <v>18</v>
      </c>
      <c r="O23" s="122">
        <v>15</v>
      </c>
      <c r="P23" s="123" t="s">
        <v>46</v>
      </c>
      <c r="Q23" s="153">
        <f>Schedule!D29</f>
        <v>36</v>
      </c>
    </row>
    <row r="24" spans="2:17" ht="14.25" customHeight="1" thickBot="1" x14ac:dyDescent="0.25">
      <c r="B24" s="140" t="s">
        <v>37</v>
      </c>
      <c r="C24" s="124">
        <f t="shared" ref="C24:K24" si="5">IF(C23&lt;C14,1,0)</f>
        <v>0</v>
      </c>
      <c r="D24" s="141">
        <f t="shared" si="5"/>
        <v>0</v>
      </c>
      <c r="E24" s="142">
        <f t="shared" si="5"/>
        <v>0</v>
      </c>
      <c r="F24" s="124">
        <f t="shared" si="5"/>
        <v>0</v>
      </c>
      <c r="G24" s="141">
        <f t="shared" si="5"/>
        <v>0</v>
      </c>
      <c r="H24" s="142">
        <f t="shared" si="5"/>
        <v>0</v>
      </c>
      <c r="I24" s="124">
        <f t="shared" si="5"/>
        <v>0</v>
      </c>
      <c r="J24" s="141">
        <f t="shared" si="5"/>
        <v>0</v>
      </c>
      <c r="K24" s="142">
        <f t="shared" si="5"/>
        <v>0</v>
      </c>
      <c r="L24" s="129"/>
    </row>
  </sheetData>
  <mergeCells count="13">
    <mergeCell ref="J1:M1"/>
    <mergeCell ref="AD8:AM8"/>
    <mergeCell ref="AX8:BG8"/>
    <mergeCell ref="AN7:BG7"/>
    <mergeCell ref="L3:M5"/>
    <mergeCell ref="U8:AC8"/>
    <mergeCell ref="L2:M2"/>
    <mergeCell ref="AO8:AW8"/>
    <mergeCell ref="J3:K5"/>
    <mergeCell ref="J2:K2"/>
    <mergeCell ref="B3:B4"/>
    <mergeCell ref="T7:AM7"/>
    <mergeCell ref="B5:B6"/>
  </mergeCells>
  <conditionalFormatting sqref="C15:K15 C24:K24">
    <cfRule type="cellIs" dxfId="0" priority="1" operator="greaterThan">
      <formula>0.5</formula>
    </cfRule>
  </conditionalFormatting>
  <dataValidations count="4">
    <dataValidation type="list" showInputMessage="1" showErrorMessage="1" sqref="J8 J17" xr:uid="{00000000-0002-0000-0900-000000000000}">
      <formula1>$U$8:$AD$8</formula1>
    </dataValidation>
    <dataValidation type="list" allowBlank="1" showInputMessage="1" showErrorMessage="1" sqref="B2" xr:uid="{00000000-0002-0000-0900-000001000000}">
      <formula1>$T$7:$BG$7</formula1>
    </dataValidation>
    <dataValidation type="list" allowBlank="1" showInputMessage="1" showErrorMessage="1" sqref="G8 G17 G29" xr:uid="{00000000-0002-0000-0900-000002000000}">
      <formula1>INDIRECT(SUBSTITUTE($B$2," ","_"))</formula1>
    </dataValidation>
    <dataValidation type="list" allowBlank="1" showInputMessage="1" showErrorMessage="1" sqref="B8 B17" xr:uid="{00000000-0002-0000-0900-000003000000}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C2:D5"/>
  <sheetViews>
    <sheetView workbookViewId="0">
      <selection activeCell="H25" sqref="H25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257</v>
      </c>
    </row>
    <row r="3" spans="3:4" x14ac:dyDescent="0.2">
      <c r="C3" t="s">
        <v>14</v>
      </c>
      <c r="D3" t="s">
        <v>14</v>
      </c>
    </row>
    <row r="4" spans="3:4" x14ac:dyDescent="0.2">
      <c r="C4" t="s">
        <v>25</v>
      </c>
      <c r="D4" t="s">
        <v>26</v>
      </c>
    </row>
    <row r="5" spans="3:4" x14ac:dyDescent="0.2">
      <c r="C5" t="s">
        <v>29</v>
      </c>
      <c r="D5" t="s">
        <v>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M15"/>
  <sheetViews>
    <sheetView zoomScale="90" zoomScaleNormal="90" workbookViewId="0">
      <selection activeCell="C14" sqref="C14"/>
    </sheetView>
  </sheetViews>
  <sheetFormatPr defaultRowHeight="12.75" x14ac:dyDescent="0.2"/>
  <cols>
    <col min="1" max="1" width="18" bestFit="1" customWidth="1"/>
    <col min="2" max="2" width="28" style="7" bestFit="1" customWidth="1"/>
    <col min="3" max="3" width="28.5703125" bestFit="1" customWidth="1"/>
    <col min="4" max="4" width="31.7109375" bestFit="1" customWidth="1"/>
    <col min="5" max="5" width="29.42578125" bestFit="1" customWidth="1"/>
    <col min="6" max="6" width="26.42578125" bestFit="1" customWidth="1"/>
    <col min="7" max="7" width="28.85546875" bestFit="1" customWidth="1"/>
    <col min="8" max="8" width="27.7109375" bestFit="1" customWidth="1"/>
    <col min="9" max="9" width="28" bestFit="1" customWidth="1"/>
    <col min="10" max="10" width="28.5703125" bestFit="1" customWidth="1"/>
    <col min="11" max="11" width="31.7109375" bestFit="1" customWidth="1"/>
    <col min="12" max="12" width="29.42578125" bestFit="1" customWidth="1"/>
    <col min="13" max="13" width="26.4257812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45551</v>
      </c>
      <c r="C2" s="11">
        <v>45552</v>
      </c>
      <c r="D2" s="11">
        <v>45553</v>
      </c>
      <c r="E2" s="11">
        <v>45554</v>
      </c>
      <c r="F2" s="11">
        <v>45555</v>
      </c>
      <c r="G2" s="11">
        <v>45556</v>
      </c>
      <c r="H2" s="11">
        <v>45557</v>
      </c>
      <c r="I2" s="11">
        <v>45558</v>
      </c>
      <c r="J2" s="11">
        <v>45559</v>
      </c>
      <c r="K2" s="11">
        <v>45560</v>
      </c>
      <c r="L2" s="11">
        <v>45561</v>
      </c>
      <c r="M2" s="11">
        <v>45562</v>
      </c>
    </row>
    <row r="3" spans="1:13" ht="30" customHeight="1" x14ac:dyDescent="0.2">
      <c r="A3" s="8">
        <v>0.66666666666666663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</row>
    <row r="4" spans="1:13" ht="30" customHeight="1" x14ac:dyDescent="0.2">
      <c r="A4" s="8">
        <v>0.67361111111111116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0.68055555555555558</v>
      </c>
      <c r="B5" s="9"/>
      <c r="C5" s="9" t="s">
        <v>258</v>
      </c>
      <c r="D5" s="9" t="s">
        <v>259</v>
      </c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0.6875</v>
      </c>
      <c r="B6" s="9"/>
      <c r="C6" s="9"/>
      <c r="D6" s="9"/>
      <c r="E6" s="9"/>
      <c r="F6" s="9"/>
      <c r="G6" s="9"/>
      <c r="H6" s="9"/>
      <c r="I6" s="9" t="s">
        <v>260</v>
      </c>
      <c r="J6" s="9"/>
      <c r="K6" s="9"/>
      <c r="L6" s="9"/>
      <c r="M6" s="9"/>
    </row>
    <row r="7" spans="1:13" ht="30" customHeight="1" x14ac:dyDescent="0.2">
      <c r="A7" s="8">
        <v>0.69444444444444442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0.70138888888888884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0.70833333333333337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0.71527777777777779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0.72222222222222221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0.72916666666666663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0.73611111111111116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0.74305555555555558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M16"/>
  <sheetViews>
    <sheetView zoomScale="90" zoomScaleNormal="90" workbookViewId="0">
      <selection activeCell="E8" sqref="E8"/>
    </sheetView>
  </sheetViews>
  <sheetFormatPr defaultRowHeight="12.75" x14ac:dyDescent="0.2"/>
  <cols>
    <col min="1" max="1" width="24.5703125" bestFit="1" customWidth="1"/>
    <col min="2" max="2" width="26.28515625" style="7" bestFit="1" customWidth="1"/>
    <col min="3" max="3" width="27.140625" bestFit="1" customWidth="1"/>
    <col min="4" max="4" width="30" bestFit="1" customWidth="1"/>
    <col min="5" max="5" width="27.85546875" bestFit="1" customWidth="1"/>
    <col min="6" max="6" width="24.85546875" bestFit="1" customWidth="1"/>
    <col min="7" max="7" width="26.28515625" hidden="1" customWidth="1"/>
    <col min="8" max="8" width="24.85546875" hidden="1" customWidth="1"/>
    <col min="9" max="9" width="26.28515625" bestFit="1" customWidth="1"/>
    <col min="10" max="10" width="27.140625" bestFit="1" customWidth="1"/>
    <col min="11" max="11" width="30" bestFit="1" customWidth="1"/>
    <col min="12" max="12" width="27.85546875" bestFit="1" customWidth="1"/>
    <col min="13" max="13" width="24.8554687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45565</v>
      </c>
      <c r="C2" s="11">
        <v>45566</v>
      </c>
      <c r="D2" s="11">
        <v>45567</v>
      </c>
      <c r="E2" s="11">
        <v>45568</v>
      </c>
      <c r="F2" s="11">
        <v>45569</v>
      </c>
      <c r="G2" s="11">
        <v>45570</v>
      </c>
      <c r="H2" s="11">
        <v>45571</v>
      </c>
      <c r="I2" s="11">
        <v>45572</v>
      </c>
      <c r="J2" s="11">
        <v>45573</v>
      </c>
      <c r="K2" s="11">
        <v>45574</v>
      </c>
      <c r="L2" s="11">
        <v>45575</v>
      </c>
      <c r="M2" s="11">
        <v>45576</v>
      </c>
    </row>
    <row r="3" spans="1:13" ht="30" customHeight="1" x14ac:dyDescent="0.2">
      <c r="A3" s="8">
        <v>0.65972222222222221</v>
      </c>
      <c r="B3" s="9"/>
      <c r="C3" s="9"/>
      <c r="D3" s="9"/>
      <c r="E3" s="9"/>
      <c r="F3" s="9"/>
      <c r="G3" s="9"/>
      <c r="H3" s="9"/>
      <c r="I3" s="9"/>
      <c r="J3" s="9"/>
      <c r="K3" s="9"/>
      <c r="L3" s="9" t="s">
        <v>261</v>
      </c>
      <c r="M3" s="9"/>
    </row>
    <row r="4" spans="1:13" ht="30" customHeight="1" x14ac:dyDescent="0.2">
      <c r="A4" s="8">
        <v>0.66666666666666663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0.67361111111111116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0.68055555555555558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30" customHeight="1" x14ac:dyDescent="0.2">
      <c r="A7" s="8">
        <v>0.6875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0.69444444444444442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0.70138888888888884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0.70833333333333337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0.71527777777777779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0.72222222222222221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0.72916666666666663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0.73611111111111116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0.74305555555555558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0" customHeight="1" x14ac:dyDescent="0.2">
      <c r="A16" s="8">
        <v>0.75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16"/>
  <sheetViews>
    <sheetView zoomScale="90" zoomScaleNormal="90" workbookViewId="0">
      <selection activeCell="K23" sqref="K23"/>
    </sheetView>
  </sheetViews>
  <sheetFormatPr defaultRowHeight="12.75" x14ac:dyDescent="0.2"/>
  <cols>
    <col min="1" max="1" width="24.5703125" bestFit="1" customWidth="1"/>
    <col min="2" max="2" width="26.28515625" style="7" bestFit="1" customWidth="1"/>
    <col min="3" max="3" width="27.140625" bestFit="1" customWidth="1"/>
    <col min="4" max="4" width="30" bestFit="1" customWidth="1"/>
    <col min="5" max="5" width="27.85546875" bestFit="1" customWidth="1"/>
    <col min="6" max="6" width="24.85546875" bestFit="1" customWidth="1"/>
    <col min="7" max="7" width="26.28515625" hidden="1" customWidth="1"/>
    <col min="8" max="8" width="24.85546875" hidden="1" customWidth="1"/>
    <col min="9" max="9" width="26.28515625" bestFit="1" customWidth="1"/>
    <col min="10" max="10" width="27.140625" bestFit="1" customWidth="1"/>
    <col min="11" max="11" width="30" bestFit="1" customWidth="1"/>
    <col min="12" max="12" width="27.85546875" customWidth="1"/>
    <col min="13" max="13" width="24.85546875" bestFit="1" customWidth="1"/>
  </cols>
  <sheetData>
    <row r="1" spans="1:13" ht="23.25" customHeight="1" x14ac:dyDescent="0.35">
      <c r="A1" s="193" t="s">
        <v>76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4"/>
    </row>
    <row r="2" spans="1:13" s="12" customFormat="1" ht="30" customHeight="1" x14ac:dyDescent="0.2">
      <c r="A2" s="10" t="s">
        <v>77</v>
      </c>
      <c r="B2" s="11">
        <v>45579</v>
      </c>
      <c r="C2" s="11">
        <v>45580</v>
      </c>
      <c r="D2" s="11">
        <v>45581</v>
      </c>
      <c r="E2" s="11">
        <v>45582</v>
      </c>
      <c r="F2" s="11">
        <v>45583</v>
      </c>
      <c r="G2" s="11">
        <v>45584</v>
      </c>
      <c r="H2" s="11">
        <v>45585</v>
      </c>
      <c r="I2" s="11">
        <v>45586</v>
      </c>
      <c r="J2" s="11">
        <v>45587</v>
      </c>
      <c r="K2" s="11">
        <v>45588</v>
      </c>
      <c r="L2" s="11">
        <v>45589</v>
      </c>
      <c r="M2" s="11">
        <v>45590</v>
      </c>
    </row>
    <row r="3" spans="1:13" s="12" customFormat="1" ht="30" customHeight="1" x14ac:dyDescent="0.2">
      <c r="A3" s="8">
        <v>0.65972222222222221</v>
      </c>
      <c r="B3" s="30"/>
      <c r="C3" s="30" t="s">
        <v>262</v>
      </c>
      <c r="D3" s="1" t="s">
        <v>263</v>
      </c>
      <c r="E3" s="30"/>
      <c r="F3" s="30"/>
      <c r="G3" s="30"/>
      <c r="H3" s="30"/>
      <c r="I3" s="30"/>
      <c r="J3" s="30"/>
      <c r="K3" s="30" t="s">
        <v>264</v>
      </c>
      <c r="L3" s="30"/>
      <c r="M3" s="30"/>
    </row>
    <row r="4" spans="1:13" ht="30" customHeight="1" x14ac:dyDescent="0.2">
      <c r="A4" s="8">
        <v>0.66666666666666663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0" customHeight="1" x14ac:dyDescent="0.2">
      <c r="A5" s="8">
        <v>0.67361111111111116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ht="30" customHeight="1" x14ac:dyDescent="0.2">
      <c r="A6" s="8">
        <v>0.68055555555555558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ht="30" customHeight="1" x14ac:dyDescent="0.2">
      <c r="A7" s="8">
        <v>0.6875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ht="30" customHeight="1" x14ac:dyDescent="0.2">
      <c r="A8" s="8">
        <v>0.69444444444444442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</row>
    <row r="9" spans="1:13" ht="30" customHeight="1" x14ac:dyDescent="0.2">
      <c r="A9" s="8">
        <v>0.70138888888888884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ht="30" customHeight="1" x14ac:dyDescent="0.2">
      <c r="A10" s="8">
        <v>0.70833333333333337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</row>
    <row r="11" spans="1:13" ht="30" customHeight="1" x14ac:dyDescent="0.2">
      <c r="A11" s="8">
        <v>0.71527777777777779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ht="30" customHeight="1" x14ac:dyDescent="0.2">
      <c r="A12" s="8">
        <v>0.72222222222222221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</row>
    <row r="13" spans="1:13" ht="30" customHeight="1" x14ac:dyDescent="0.2">
      <c r="A13" s="8">
        <v>0.72916666666666663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ht="30" customHeight="1" x14ac:dyDescent="0.2">
      <c r="A14" s="8">
        <v>0.73611111111111116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</row>
    <row r="15" spans="1:13" ht="30" customHeight="1" x14ac:dyDescent="0.2">
      <c r="A15" s="8">
        <v>0.74305555555555558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ht="30" customHeight="1" x14ac:dyDescent="0.2">
      <c r="A16" s="8">
        <v>0.75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Scores 2024</vt:lpstr>
      <vt:lpstr>Sep 2 - 13th</vt:lpstr>
      <vt:lpstr>July 22 - Aug 2nd</vt:lpstr>
      <vt:lpstr>Aug 5 - 16th</vt:lpstr>
      <vt:lpstr>Aug 19 - 30th</vt:lpstr>
      <vt:lpstr>Schedule</vt:lpstr>
      <vt:lpstr>Course Info</vt:lpstr>
      <vt:lpstr>Scores 2026</vt:lpstr>
      <vt:lpstr>Calculator (old)</vt:lpstr>
      <vt:lpstr>Calculator</vt:lpstr>
      <vt:lpstr>Helper</vt:lpstr>
      <vt:lpstr>Sep 16 - 27th</vt:lpstr>
      <vt:lpstr>Sep 30 - Oct 11</vt:lpstr>
      <vt:lpstr>Oct 14 - 25th</vt:lpstr>
      <vt:lpstr>Highland_Creek</vt:lpstr>
      <vt:lpstr>Skybrook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High, Ethan</dc:creator>
  <cp:lastModifiedBy>Ethan High</cp:lastModifiedBy>
  <dcterms:created xsi:type="dcterms:W3CDTF">2024-07-07T22:40:09Z</dcterms:created>
  <dcterms:modified xsi:type="dcterms:W3CDTF">2026-04-28T13:45:48Z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7c4d06e-487d-4037-8bcc-68585ad0649c_Enabled">
    <vt:lpwstr>true</vt:lpwstr>
  </property>
  <property fmtid="{D5CDD505-2E9C-101B-9397-08002B2CF9AE}" pid="3" name="MSIP_Label_67c4d06e-487d-4037-8bcc-68585ad0649c_SetDate">
    <vt:lpwstr>2024-07-07T22:41:13Z</vt:lpwstr>
  </property>
  <property fmtid="{D5CDD505-2E9C-101B-9397-08002B2CF9AE}" pid="4" name="MSIP_Label_67c4d06e-487d-4037-8bcc-68585ad0649c_Method">
    <vt:lpwstr>Privileged</vt:lpwstr>
  </property>
  <property fmtid="{D5CDD505-2E9C-101B-9397-08002B2CF9AE}" pid="5" name="MSIP_Label_67c4d06e-487d-4037-8bcc-68585ad0649c_Name">
    <vt:lpwstr>Personal</vt:lpwstr>
  </property>
  <property fmtid="{D5CDD505-2E9C-101B-9397-08002B2CF9AE}" pid="6" name="MSIP_Label_67c4d06e-487d-4037-8bcc-68585ad0649c_SiteId">
    <vt:lpwstr>22d635a3-3930-4779-a82d-155e2d13b75e</vt:lpwstr>
  </property>
  <property fmtid="{D5CDD505-2E9C-101B-9397-08002B2CF9AE}" pid="7" name="MSIP_Label_67c4d06e-487d-4037-8bcc-68585ad0649c_ActionId">
    <vt:lpwstr>6a25481f-915e-4c14-8a9b-a705a376af3f</vt:lpwstr>
  </property>
  <property fmtid="{D5CDD505-2E9C-101B-9397-08002B2CF9AE}" pid="8" name="MSIP_Label_67c4d06e-487d-4037-8bcc-68585ad0649c_ContentBits">
    <vt:lpwstr>0</vt:lpwstr>
  </property>
</Properties>
</file>