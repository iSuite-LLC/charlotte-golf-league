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53" documentId="11_D812028DA688F3B9538958C5B423B5CF7585794A" xr6:coauthVersionLast="47" xr6:coauthVersionMax="47" xr10:uidLastSave="{DDAEABDB-36BE-4790-90A7-DB2C3E8BE5E5}"/>
  <bookViews>
    <workbookView xWindow="19095" yWindow="0" windowWidth="19410" windowHeight="20985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D17" i="1" s="1"/>
  <c r="Q19" i="1"/>
  <c r="O19" i="1"/>
  <c r="Q17" i="1"/>
  <c r="J17" i="1"/>
  <c r="C19" i="1" s="1" a="1"/>
  <c r="C19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D8" i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H24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L19" i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I24" i="1" l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<sst xmlns="http://schemas.openxmlformats.org/spreadsheetml/2006/main" count="103" uniqueCount="51">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</sst>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8" xfId="0" applyBorder="1"/>
    <xf numFmtId="0" fontId="0" fillId="0" borderId="13" xfId="0" applyBorder="1"/>
    <xf numFmtId="0" fontId="5" fillId="3" borderId="2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topLeftCell="A6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51" t="s">
        <v>1</v>
      </c>
      <c r="K1" s="52"/>
      <c r="L1" s="52"/>
      <c r="M1" s="52"/>
    </row>
    <row r="2" spans="2:7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9" t="str">
        <f>B8</f>
        <v>Carson Bass</v>
      </c>
      <c r="K2" s="42"/>
      <c r="L2" s="41" t="str">
        <f>B17</f>
        <v>Brian Wojcio</v>
      </c>
      <c r="M2" s="42"/>
    </row>
    <row r="3" spans="2:79" ht="14.25" customHeight="1" thickBot="1" x14ac:dyDescent="0.25">
      <c r="B3" s="50" t="str">
        <f>J2</f>
        <v>Carson Bass</v>
      </c>
      <c r="C3" s="6" t="s">
        <v>8</v>
      </c>
      <c r="D3" s="7">
        <f>SUM(C15:E15)</f>
        <v>0</v>
      </c>
      <c r="E3" s="7">
        <f>SUM(F15:H15)</f>
        <v>0</v>
      </c>
      <c r="F3" s="7">
        <f>SUM(I15:K15)</f>
        <v>1</v>
      </c>
      <c r="G3" s="7">
        <f>SUM(C15:K15)</f>
        <v>1</v>
      </c>
      <c r="H3" s="7">
        <f>SUM(C14:K14)</f>
        <v>47</v>
      </c>
      <c r="J3" s="43">
        <f>SUM(D4:H4)</f>
        <v>0</v>
      </c>
      <c r="K3" s="44"/>
      <c r="L3" s="53">
        <f>SUM(D6:H6)</f>
        <v>8</v>
      </c>
      <c r="M3" s="44"/>
    </row>
    <row r="4" spans="2:79" ht="14.25" customHeight="1" thickBot="1" x14ac:dyDescent="0.25">
      <c r="B4" s="47"/>
      <c r="C4" s="8" t="s">
        <v>9</v>
      </c>
      <c r="D4" s="9">
        <f>IF(D3&gt;D5,2,IF(D3=D5,1,0))</f>
        <v>0</v>
      </c>
      <c r="E4" s="9">
        <f>IF(E3&gt;E5,2,IF(E3=E5,1,0))</f>
        <v>0</v>
      </c>
      <c r="F4" s="9">
        <f>IF(F3&gt;F5,2,IF(F3=F5,1,0))</f>
        <v>0</v>
      </c>
      <c r="G4" s="9">
        <f>IF(G3&gt;G5,1,IF(G3=G5,0.5,0))</f>
        <v>0</v>
      </c>
      <c r="H4" s="9">
        <f>IF(H3&lt;H5,1,IF(H3=H5,0.5,0))</f>
        <v>0</v>
      </c>
      <c r="J4" s="45"/>
      <c r="K4" s="46"/>
      <c r="L4" s="40"/>
      <c r="M4" s="46"/>
    </row>
    <row r="5" spans="2:79" ht="14.25" customHeight="1" thickBot="1" x14ac:dyDescent="0.25">
      <c r="B5" s="50" t="str">
        <f>L2</f>
        <v>Brian Wojcio</v>
      </c>
      <c r="C5" s="10" t="s">
        <v>8</v>
      </c>
      <c r="D5" s="11">
        <f>SUM(C24:E24)</f>
        <v>3</v>
      </c>
      <c r="E5" s="11">
        <f>SUM(F24:H24)</f>
        <v>3</v>
      </c>
      <c r="F5" s="11">
        <f>SUM(I24:K24)</f>
        <v>2</v>
      </c>
      <c r="G5" s="11">
        <f>SUM(C24:K24)</f>
        <v>8</v>
      </c>
      <c r="H5" s="11">
        <f>SUM(C23:K23)</f>
        <v>34</v>
      </c>
      <c r="J5" s="47"/>
      <c r="K5" s="48"/>
      <c r="L5" s="52"/>
      <c r="M5" s="48"/>
    </row>
    <row r="6" spans="2:79" ht="14.25" customHeight="1" thickBot="1" x14ac:dyDescent="0.25">
      <c r="B6" s="47"/>
      <c r="C6" s="8" t="s">
        <v>9</v>
      </c>
      <c r="D6" s="9">
        <f>IF(D5&gt;D3,2,IF(D5=D3,1,0))</f>
        <v>2</v>
      </c>
      <c r="E6" s="9">
        <f>IF(E5&gt;E3,2,IF(E5=E3,1,0))</f>
        <v>2</v>
      </c>
      <c r="F6" s="9">
        <f>IF(F5&gt;F3,2,IF(F5=F3,1,0))</f>
        <v>2</v>
      </c>
      <c r="G6" s="9">
        <f>IF(G5&gt;G3,1,IF(G5=G3,0.5,0))</f>
        <v>1</v>
      </c>
      <c r="H6" s="9">
        <f>IF(H5&lt;H3,1,IF(H5=H3,0.5,0))</f>
        <v>1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10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11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39" t="s">
        <v>2</v>
      </c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</row>
    <row r="8" spans="2:79" ht="16.5" customHeight="1" thickBot="1" x14ac:dyDescent="0.3">
      <c r="B8" s="13" t="s">
        <v>34</v>
      </c>
      <c r="C8" s="14" t="s">
        <v>13</v>
      </c>
      <c r="D8" s="12">
        <f>_xlfn.XLOOKUP(B8,$P$9:$P$23,$Q$9:$Q$23)</f>
        <v>20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17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39" t="s">
        <v>17</v>
      </c>
      <c r="V8" s="40"/>
      <c r="W8" s="40"/>
      <c r="X8" s="40"/>
      <c r="Y8" s="40"/>
      <c r="Z8" s="40"/>
      <c r="AA8" s="40"/>
      <c r="AB8" s="40"/>
      <c r="AC8" s="40"/>
      <c r="AD8" s="39" t="s">
        <v>22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21</v>
      </c>
      <c r="AO8" s="39" t="s">
        <v>17</v>
      </c>
      <c r="AP8" s="40"/>
      <c r="AQ8" s="40"/>
      <c r="AR8" s="40"/>
      <c r="AS8" s="40"/>
      <c r="AT8" s="40"/>
      <c r="AU8" s="40"/>
      <c r="AV8" s="40"/>
      <c r="AW8" s="40"/>
      <c r="AX8" s="39" t="s">
        <v>22</v>
      </c>
      <c r="AY8" s="40"/>
      <c r="AZ8" s="40"/>
      <c r="BA8" s="40"/>
      <c r="BB8" s="40"/>
      <c r="BC8" s="40"/>
      <c r="BD8" s="40"/>
      <c r="BE8" s="40"/>
      <c r="BF8" s="40"/>
      <c r="BG8" s="40"/>
      <c r="BH8" s="2" t="s">
        <v>21</v>
      </c>
      <c r="BI8" s="39" t="s">
        <v>17</v>
      </c>
      <c r="BJ8" s="40"/>
      <c r="BK8" s="40"/>
      <c r="BL8" s="40"/>
      <c r="BM8" s="40"/>
      <c r="BN8" s="40"/>
      <c r="BO8" s="40"/>
      <c r="BP8" s="40"/>
      <c r="BQ8" s="40"/>
      <c r="BR8" s="39" t="s">
        <v>22</v>
      </c>
      <c r="BS8" s="40"/>
      <c r="BT8" s="40"/>
      <c r="BU8" s="40"/>
      <c r="BV8" s="40"/>
      <c r="BW8" s="40"/>
      <c r="BX8" s="40"/>
      <c r="BY8" s="40"/>
      <c r="BZ8" s="40"/>
      <c r="CA8" s="40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5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4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3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5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3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4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3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4</v>
      </c>
      <c r="L10" s="12">
        <f>SUM(C10:K10)</f>
        <v>35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7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3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13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9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11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15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5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17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7</v>
      </c>
      <c r="D12" s="30">
        <v>7</v>
      </c>
      <c r="E12" s="31">
        <v>5</v>
      </c>
      <c r="F12" s="29">
        <v>7</v>
      </c>
      <c r="G12" s="30">
        <v>6</v>
      </c>
      <c r="H12" s="31">
        <v>6</v>
      </c>
      <c r="I12" s="29">
        <v>8</v>
      </c>
      <c r="J12" s="30">
        <v>3</v>
      </c>
      <c r="K12" s="31">
        <v>8</v>
      </c>
      <c r="L12" s="12">
        <f>SUM(C12:K12)</f>
        <v>57</v>
      </c>
      <c r="M12" s="32">
        <f>SUM(C12:K12)-SUM(C$10:K$10)</f>
        <v>22</v>
      </c>
      <c r="O12" s="22">
        <v>4</v>
      </c>
      <c r="P12" s="23" t="s">
        <v>34</v>
      </c>
      <c r="Q12" s="24">
        <f>[1]Schedule!D18</f>
        <v>20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1</v>
      </c>
      <c r="G13" s="12">
        <f t="shared" si="0"/>
        <v>1</v>
      </c>
      <c r="H13" s="26">
        <f t="shared" si="0"/>
        <v>1</v>
      </c>
      <c r="I13" s="27">
        <f t="shared" si="0"/>
        <v>2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37</v>
      </c>
      <c r="Q13" s="24">
        <f>[1]Schedule!D19</f>
        <v>22</v>
      </c>
    </row>
    <row r="14" spans="2:79" x14ac:dyDescent="0.25">
      <c r="B14" s="25" t="s">
        <v>38</v>
      </c>
      <c r="C14" s="27">
        <f>C12-C13</f>
        <v>6</v>
      </c>
      <c r="D14" s="12">
        <f t="shared" ref="D14:K14" si="1">D12-INT($D$8/18)-IF(D11&lt;=MOD($D$8,18),1,0)</f>
        <v>6</v>
      </c>
      <c r="E14" s="26">
        <f t="shared" si="1"/>
        <v>4</v>
      </c>
      <c r="F14" s="27">
        <f t="shared" si="1"/>
        <v>6</v>
      </c>
      <c r="G14" s="12">
        <f t="shared" si="1"/>
        <v>5</v>
      </c>
      <c r="H14" s="26">
        <f t="shared" si="1"/>
        <v>5</v>
      </c>
      <c r="I14" s="27">
        <f t="shared" si="1"/>
        <v>6</v>
      </c>
      <c r="J14" s="12">
        <f t="shared" si="1"/>
        <v>2</v>
      </c>
      <c r="K14" s="26">
        <f t="shared" si="1"/>
        <v>7</v>
      </c>
      <c r="L14" s="34">
        <f>SUM(C14:K14)</f>
        <v>47</v>
      </c>
      <c r="M14" s="32">
        <f>SUM(C14:K14)-SUM(C$10:K$10)</f>
        <v>12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0</v>
      </c>
      <c r="I15" s="36">
        <f t="shared" si="2"/>
        <v>0</v>
      </c>
      <c r="J15" s="37">
        <f t="shared" si="2"/>
        <v>1</v>
      </c>
      <c r="K15" s="38">
        <f t="shared" si="2"/>
        <v>0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24</v>
      </c>
      <c r="C17" s="14" t="s">
        <v>13</v>
      </c>
      <c r="D17" s="12">
        <f>_xlfn.XLOOKUP(B17,$P$9:$P$23,$Q$9:$Q$23)</f>
        <v>12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Front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5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4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3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5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3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4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3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4</v>
      </c>
      <c r="L19" s="12">
        <f>SUM(C19:K19)</f>
        <v>35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7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3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13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9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11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15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5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17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6</v>
      </c>
      <c r="D21" s="30">
        <v>5</v>
      </c>
      <c r="E21" s="31">
        <v>2</v>
      </c>
      <c r="F21" s="29">
        <v>5</v>
      </c>
      <c r="G21" s="30">
        <v>5</v>
      </c>
      <c r="H21" s="31">
        <v>3</v>
      </c>
      <c r="I21" s="29">
        <v>6</v>
      </c>
      <c r="J21" s="30">
        <v>4</v>
      </c>
      <c r="K21" s="31">
        <v>4</v>
      </c>
      <c r="L21" s="12">
        <f>SUM(C21:K21)</f>
        <v>40</v>
      </c>
      <c r="M21" s="32">
        <f>SUM(C21:K21)-SUM(C$10:K$10)</f>
        <v>5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1</v>
      </c>
      <c r="D22" s="12">
        <f t="shared" si="3"/>
        <v>1</v>
      </c>
      <c r="E22" s="26">
        <f t="shared" si="3"/>
        <v>0</v>
      </c>
      <c r="F22" s="27">
        <f t="shared" si="3"/>
        <v>1</v>
      </c>
      <c r="G22" s="12">
        <f t="shared" si="3"/>
        <v>1</v>
      </c>
      <c r="H22" s="26">
        <f t="shared" si="3"/>
        <v>0</v>
      </c>
      <c r="I22" s="27">
        <f t="shared" si="3"/>
        <v>1</v>
      </c>
      <c r="J22" s="12">
        <f t="shared" si="3"/>
        <v>1</v>
      </c>
      <c r="K22" s="26">
        <f t="shared" si="3"/>
        <v>0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5</v>
      </c>
      <c r="D23" s="12">
        <f t="shared" si="4"/>
        <v>4</v>
      </c>
      <c r="E23" s="26">
        <f t="shared" si="4"/>
        <v>2</v>
      </c>
      <c r="F23" s="27">
        <f t="shared" si="4"/>
        <v>4</v>
      </c>
      <c r="G23" s="12">
        <f t="shared" si="4"/>
        <v>4</v>
      </c>
      <c r="H23" s="26">
        <f t="shared" si="4"/>
        <v>3</v>
      </c>
      <c r="I23" s="27">
        <f t="shared" si="4"/>
        <v>5</v>
      </c>
      <c r="J23" s="12">
        <f t="shared" si="4"/>
        <v>3</v>
      </c>
      <c r="K23" s="26">
        <f t="shared" si="4"/>
        <v>4</v>
      </c>
      <c r="L23" s="34">
        <f>SUM(C23:K23)</f>
        <v>34</v>
      </c>
      <c r="M23" s="32">
        <f>SUM(C23:K23)-SUM(C$10:K$10)</f>
        <v>-1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1</v>
      </c>
      <c r="D24" s="37">
        <f t="shared" si="5"/>
        <v>1</v>
      </c>
      <c r="E24" s="38">
        <f t="shared" si="5"/>
        <v>1</v>
      </c>
      <c r="F24" s="36">
        <f t="shared" si="5"/>
        <v>1</v>
      </c>
      <c r="G24" s="37">
        <f t="shared" si="5"/>
        <v>1</v>
      </c>
      <c r="H24" s="38">
        <f t="shared" si="5"/>
        <v>1</v>
      </c>
      <c r="I24" s="36">
        <f t="shared" si="5"/>
        <v>1</v>
      </c>
      <c r="J24" s="37">
        <f t="shared" si="5"/>
        <v>0</v>
      </c>
      <c r="K24" s="38">
        <f t="shared" si="5"/>
        <v>1</v>
      </c>
      <c r="L24" s="12"/>
    </row>
  </sheetData>
  <mergeCells count="16"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  <mergeCell ref="BH7:CA7"/>
    <mergeCell ref="J3:K5"/>
    <mergeCell ref="J2:K2"/>
    <mergeCell ref="BR8:CA8"/>
    <mergeCell ref="BI8:BQ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2026-06-29T13:58:17Z</dcterms:modified>
</cp:coreProperties>
</file>