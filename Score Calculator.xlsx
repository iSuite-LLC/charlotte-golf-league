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106" documentId="11_D812028DA688F3B9538958C5B423B5CF7585794A" xr6:coauthVersionLast="47" xr6:coauthVersionMax="47" xr10:uidLastSave="{0D81D298-B615-44F7-B9B6-F692BDA01CF5}"/>
  <bookViews>
    <workbookView xWindow="38295" yWindow="0" windowWidth="19410" windowHeight="20985" xr2:uid="{00000000-000D-0000-FFFF-FFFF00000000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  <definedName name="Warrior_Golf_Club">Helper!$E$3:$E$5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Q10" i="1"/>
  <c r="D8" i="1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9" i="1"/>
  <c r="L21" i="1"/>
  <c r="O19" i="1"/>
  <c r="J17" i="1"/>
  <c r="C19" i="1" s="1" a="1"/>
  <c r="C19" i="1" s="1"/>
  <c r="O15" i="1"/>
  <c r="L12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L2" i="1"/>
  <c r="B5" i="1" s="1"/>
  <c r="J2" i="1"/>
  <c r="B3" i="1" s="1"/>
  <c r="K14" i="1" l="1"/>
  <c r="I14" i="1"/>
  <c r="J14" i="1"/>
  <c r="H14" i="1"/>
  <c r="C13" i="1"/>
  <c r="C14" i="1" s="1"/>
  <c r="D13" i="1"/>
  <c r="J19" i="1" a="1"/>
  <c r="J19" i="1" s="1"/>
  <c r="H19" i="1" a="1"/>
  <c r="H19" i="1" s="1"/>
  <c r="K19" i="1" a="1"/>
  <c r="K19" i="1" s="1"/>
  <c r="G19" i="1" a="1"/>
  <c r="G19" i="1" s="1"/>
  <c r="E20" i="1" a="1"/>
  <c r="E20" i="1" s="1"/>
  <c r="E22" i="1" s="1"/>
  <c r="E23" i="1" s="1"/>
  <c r="D19" i="1" a="1"/>
  <c r="D19" i="1" s="1"/>
  <c r="E19" i="1" a="1"/>
  <c r="E19" i="1" s="1"/>
  <c r="F19" i="1" a="1"/>
  <c r="F19" i="1" s="1"/>
  <c r="I19" i="1" a="1"/>
  <c r="I19" i="1" s="1"/>
  <c r="F20" i="1" a="1"/>
  <c r="F20" i="1" s="1"/>
  <c r="F22" i="1" s="1"/>
  <c r="F23" i="1" s="1"/>
  <c r="G20" i="1" a="1"/>
  <c r="G20" i="1" s="1"/>
  <c r="G22" i="1" s="1"/>
  <c r="G23" i="1" s="1"/>
  <c r="H20" i="1" a="1"/>
  <c r="H20" i="1" s="1"/>
  <c r="H22" i="1" s="1"/>
  <c r="H23" i="1" s="1"/>
  <c r="I20" i="1" a="1"/>
  <c r="I20" i="1" s="1"/>
  <c r="I22" i="1" s="1"/>
  <c r="I23" i="1" s="1"/>
  <c r="J20" i="1" a="1"/>
  <c r="J20" i="1" s="1"/>
  <c r="J22" i="1" s="1"/>
  <c r="J23" i="1" s="1"/>
  <c r="K20" i="1" a="1"/>
  <c r="K20" i="1" s="1"/>
  <c r="K22" i="1" s="1"/>
  <c r="K23" i="1" s="1"/>
  <c r="L19" i="1"/>
  <c r="G14" i="1"/>
  <c r="M12" i="1"/>
  <c r="M21" i="1"/>
  <c r="L10" i="1"/>
  <c r="F13" i="1"/>
  <c r="J13" i="1"/>
  <c r="G13" i="1"/>
  <c r="D14" i="1"/>
  <c r="C20" i="1" a="1"/>
  <c r="C20" i="1" s="1"/>
  <c r="C22" i="1" s="1"/>
  <c r="C23" i="1" s="1"/>
  <c r="H13" i="1"/>
  <c r="K13" i="1"/>
  <c r="E14" i="1"/>
  <c r="E13" i="1"/>
  <c r="I13" i="1"/>
  <c r="F14" i="1"/>
  <c r="D20" i="1" a="1"/>
  <c r="D20" i="1" s="1"/>
  <c r="D22" i="1" s="1"/>
  <c r="D23" i="1" s="1"/>
  <c r="H24" i="1" l="1"/>
  <c r="I24" i="1"/>
  <c r="K24" i="1"/>
  <c r="J24" i="1"/>
  <c r="D24" i="1"/>
  <c r="G24" i="1"/>
  <c r="E24" i="1"/>
  <c r="F24" i="1"/>
  <c r="L14" i="1"/>
  <c r="M23" i="1"/>
  <c r="C24" i="1"/>
  <c r="H5" i="1"/>
  <c r="L23" i="1"/>
  <c r="C15" i="1"/>
  <c r="H15" i="1"/>
  <c r="F15" i="1"/>
  <c r="J15" i="1"/>
  <c r="K15" i="1"/>
  <c r="G15" i="1"/>
  <c r="I15" i="1"/>
  <c r="E15" i="1"/>
  <c r="H3" i="1"/>
  <c r="D15" i="1"/>
  <c r="M14" i="1"/>
  <c r="F5" i="1" l="1"/>
  <c r="H4" i="1"/>
  <c r="F3" i="1"/>
  <c r="E5" i="1"/>
  <c r="G5" i="1"/>
  <c r="D5" i="1"/>
  <c r="E3" i="1"/>
  <c r="D3" i="1"/>
  <c r="G3" i="1"/>
  <c r="H6" i="1"/>
  <c r="F4" i="1" l="1"/>
  <c r="D4" i="1"/>
  <c r="F6" i="1"/>
  <c r="G4" i="1"/>
  <c r="E4" i="1"/>
  <c r="E6" i="1"/>
  <c r="D6" i="1"/>
  <c r="G6" i="1"/>
  <c r="J3" i="1" l="1"/>
  <c r="L3" i="1"/>
</calcChain>
</file>

<file path=xl/sharedStrings.xml><?xml version="1.0" encoding="utf-8"?>
<sst xmlns="http://schemas.openxmlformats.org/spreadsheetml/2006/main" count="103" uniqueCount="51">
  <si>
    <t>Fill in the course, your name, tees, front/back and gross scores in the grey boxes</t>
  </si>
  <si>
    <t>Points</t>
  </si>
  <si>
    <t>Warrior Golf Club</t>
  </si>
  <si>
    <t>First 3</t>
  </si>
  <si>
    <t>Middle 3</t>
  </si>
  <si>
    <t>Final 3</t>
  </si>
  <si>
    <t>Overall</t>
  </si>
  <si>
    <t>Net Score</t>
  </si>
  <si>
    <t>Holes Won</t>
  </si>
  <si>
    <t>PTS</t>
  </si>
  <si>
    <t>Skybrook</t>
  </si>
  <si>
    <t>Highland Creek</t>
  </si>
  <si>
    <t>Nick Coglianese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</si>
  <si>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</si>
  <si>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</si>
  <si>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</si>
  <si>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</si>
  <si>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</si>
  <si>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</si>
  <si>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</si>
  <si>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</si>
  <si>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</si>
  <si>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</si>
  <si>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</si>
  <si>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</si>
  <si>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Black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</si>
  <si>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</si>
  <si>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</si>
  <si>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</si>
  <si>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</si>
  <si>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</si>
  <si>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</si>
  <si>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</si>
  <si>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</si>
  <si>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</si>
  <si>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</si>
  <si>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</si>
  <si>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</si>
  <si>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</si>
  <si>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</si>
  <si>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</si>
  <si>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</si>
  <si>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</si>
  <si>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Jerome Martin</t>
  </si>
  <si>
    <t>Preston Stoner</t>
  </si>
  <si>
    <t>Charlotte Hayes</t>
  </si>
  <si>
    <t>David Maddox</t>
  </si>
  <si>
    <t>Kaylan Adams</t>
  </si>
  <si>
    <t>Megan Serian</t>
  </si>
  <si>
    <t>Highland_Creek</t>
  </si>
  <si>
    <t>Warrior_Golf_Club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</si>
</sst>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8" xfId="0" applyBorder="1"/>
    <xf numFmtId="0" fontId="0" fillId="0" borderId="13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4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6" fillId="3" borderId="3" xfId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 wrapText="1"/>
    </xf>
  </cellXfs>
  <cellStyles count="2">
    <cellStyle name="Normal" xfId="0" builtinId="0"/>
    <cellStyle name="Normal 3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24</v>
          </cell>
        </row>
        <row r="19">
          <cell r="D19">
            <v>25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4">
          <cell r="D24">
            <v>20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A24"/>
  <sheetViews>
    <sheetView tabSelected="1" zoomScale="115" zoomScaleNormal="115" workbookViewId="0">
      <selection activeCell="I27" sqref="I27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0" width="11" style="2" bestFit="1" customWidth="1"/>
    <col min="61" max="69" width="4" style="2" customWidth="1"/>
    <col min="70" max="70" width="10.42578125" style="2" bestFit="1" customWidth="1"/>
    <col min="71" max="79" width="4" style="2" customWidth="1"/>
    <col min="80" max="80" width="9.85546875" style="2" customWidth="1"/>
    <col min="81" max="16384" width="9.85546875" style="2"/>
  </cols>
  <sheetData>
    <row r="1" spans="2:79" ht="14.25" customHeight="1" thickBot="1" x14ac:dyDescent="0.25">
      <c r="B1" s="1" t="s">
        <v>0</v>
      </c>
      <c r="J1" s="50" t="s">
        <v>1</v>
      </c>
      <c r="K1" s="51"/>
      <c r="L1" s="51"/>
      <c r="M1" s="51"/>
    </row>
    <row r="2" spans="2:7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7" t="str">
        <f>B8</f>
        <v>Curtis Lynn</v>
      </c>
      <c r="K2" s="48"/>
      <c r="L2" s="53" t="str">
        <f>B17</f>
        <v>Preston Stoner</v>
      </c>
      <c r="M2" s="48"/>
    </row>
    <row r="3" spans="2:79" ht="14.25" customHeight="1" thickBot="1" x14ac:dyDescent="0.25">
      <c r="B3" s="49" t="str">
        <f>J2</f>
        <v>Curtis Lynn</v>
      </c>
      <c r="C3" s="6" t="s">
        <v>8</v>
      </c>
      <c r="D3" s="7">
        <f>SUM(C15:E15)</f>
        <v>2</v>
      </c>
      <c r="E3" s="7">
        <f>SUM(F15:H15)</f>
        <v>2</v>
      </c>
      <c r="F3" s="7">
        <f>SUM(I15:K15)</f>
        <v>3</v>
      </c>
      <c r="G3" s="7">
        <f>SUM(C15:K15)</f>
        <v>7</v>
      </c>
      <c r="H3" s="7">
        <f>SUM(C14:K14)</f>
        <v>35</v>
      </c>
      <c r="J3" s="41">
        <f>SUM(D4:H4)</f>
        <v>8</v>
      </c>
      <c r="K3" s="42"/>
      <c r="L3" s="52">
        <f>SUM(D6:H6)</f>
        <v>0</v>
      </c>
      <c r="M3" s="42"/>
    </row>
    <row r="4" spans="2:79" ht="14.25" customHeight="1" thickBot="1" x14ac:dyDescent="0.25">
      <c r="B4" s="45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43"/>
      <c r="K4" s="44"/>
      <c r="L4" s="40"/>
      <c r="M4" s="44"/>
    </row>
    <row r="5" spans="2:79" ht="14.25" customHeight="1" thickBot="1" x14ac:dyDescent="0.25">
      <c r="B5" s="49" t="str">
        <f>L2</f>
        <v>Preston Stoner</v>
      </c>
      <c r="C5" s="10" t="s">
        <v>8</v>
      </c>
      <c r="D5" s="11">
        <f>SUM(C24:E24)</f>
        <v>1</v>
      </c>
      <c r="E5" s="11">
        <f>SUM(F24:H24)</f>
        <v>1</v>
      </c>
      <c r="F5" s="11">
        <f>SUM(I24:K24)</f>
        <v>0</v>
      </c>
      <c r="G5" s="11">
        <f>SUM(C24:K24)</f>
        <v>2</v>
      </c>
      <c r="H5" s="11">
        <f>SUM(C23:K23)</f>
        <v>44</v>
      </c>
      <c r="J5" s="45"/>
      <c r="K5" s="46"/>
      <c r="L5" s="51"/>
      <c r="M5" s="46"/>
    </row>
    <row r="6" spans="2:79" ht="14.25" customHeight="1" thickBot="1" x14ac:dyDescent="0.25">
      <c r="B6" s="45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7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10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11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39" t="s">
        <v>2</v>
      </c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</row>
    <row r="8" spans="2:79" ht="16.5" customHeight="1" thickBot="1" x14ac:dyDescent="0.3">
      <c r="B8" s="13" t="s">
        <v>42</v>
      </c>
      <c r="C8" s="14" t="s">
        <v>13</v>
      </c>
      <c r="D8" s="12">
        <f>_xlfn.XLOOKUP(B8,$P$9:$P$23,$Q$9:$Q$23)</f>
        <v>28</v>
      </c>
      <c r="E8" s="12"/>
      <c r="F8" s="12" t="s">
        <v>14</v>
      </c>
      <c r="G8" s="15" t="s">
        <v>15</v>
      </c>
      <c r="H8" s="12"/>
      <c r="I8" s="12" t="s">
        <v>16</v>
      </c>
      <c r="J8" s="16" t="s">
        <v>17</v>
      </c>
      <c r="K8" s="12"/>
      <c r="L8" s="12"/>
      <c r="O8" s="17" t="s">
        <v>18</v>
      </c>
      <c r="P8" s="17" t="s">
        <v>19</v>
      </c>
      <c r="Q8" s="17" t="s">
        <v>20</v>
      </c>
      <c r="T8" s="2" t="s">
        <v>21</v>
      </c>
      <c r="U8" s="39" t="s">
        <v>17</v>
      </c>
      <c r="V8" s="40"/>
      <c r="W8" s="40"/>
      <c r="X8" s="40"/>
      <c r="Y8" s="40"/>
      <c r="Z8" s="40"/>
      <c r="AA8" s="40"/>
      <c r="AB8" s="40"/>
      <c r="AC8" s="40"/>
      <c r="AD8" s="39" t="s">
        <v>22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21</v>
      </c>
      <c r="AO8" s="39" t="s">
        <v>17</v>
      </c>
      <c r="AP8" s="40"/>
      <c r="AQ8" s="40"/>
      <c r="AR8" s="40"/>
      <c r="AS8" s="40"/>
      <c r="AT8" s="40"/>
      <c r="AU8" s="40"/>
      <c r="AV8" s="40"/>
      <c r="AW8" s="40"/>
      <c r="AX8" s="39" t="s">
        <v>22</v>
      </c>
      <c r="AY8" s="40"/>
      <c r="AZ8" s="40"/>
      <c r="BA8" s="40"/>
      <c r="BB8" s="40"/>
      <c r="BC8" s="40"/>
      <c r="BD8" s="40"/>
      <c r="BE8" s="40"/>
      <c r="BF8" s="40"/>
      <c r="BG8" s="40"/>
      <c r="BH8" s="2" t="s">
        <v>21</v>
      </c>
      <c r="BI8" s="39" t="s">
        <v>17</v>
      </c>
      <c r="BJ8" s="40"/>
      <c r="BK8" s="40"/>
      <c r="BL8" s="40"/>
      <c r="BM8" s="40"/>
      <c r="BN8" s="40"/>
      <c r="BO8" s="40"/>
      <c r="BP8" s="40"/>
      <c r="BQ8" s="40"/>
      <c r="BR8" s="39" t="s">
        <v>22</v>
      </c>
      <c r="BS8" s="40"/>
      <c r="BT8" s="40"/>
      <c r="BU8" s="40"/>
      <c r="BV8" s="40"/>
      <c r="BW8" s="40"/>
      <c r="BX8" s="40"/>
      <c r="BY8" s="40"/>
      <c r="BZ8" s="40"/>
      <c r="CA8" s="40"/>
    </row>
    <row r="9" spans="2:79" ht="15" customHeight="1" x14ac:dyDescent="0.25">
      <c r="B9" s="18" t="s">
        <v>23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24</v>
      </c>
      <c r="Q9" s="24">
        <f>[1]Schedule!D15</f>
        <v>12</v>
      </c>
      <c r="T9" s="2" t="s">
        <v>15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15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15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15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  <c r="BH9" s="2" t="s">
        <v>25</v>
      </c>
      <c r="BI9" s="12">
        <v>7</v>
      </c>
      <c r="BJ9" s="12">
        <v>3</v>
      </c>
      <c r="BK9" s="12">
        <v>13</v>
      </c>
      <c r="BL9" s="12">
        <v>9</v>
      </c>
      <c r="BM9" s="12">
        <v>11</v>
      </c>
      <c r="BN9" s="12">
        <v>15</v>
      </c>
      <c r="BO9" s="12">
        <v>1</v>
      </c>
      <c r="BP9" s="12">
        <v>5</v>
      </c>
      <c r="BQ9" s="12">
        <v>17</v>
      </c>
      <c r="BR9" s="2" t="s">
        <v>25</v>
      </c>
      <c r="BS9" s="12">
        <v>2</v>
      </c>
      <c r="BT9" s="12">
        <v>6</v>
      </c>
      <c r="BU9" s="12">
        <v>12</v>
      </c>
      <c r="BV9" s="12">
        <v>14</v>
      </c>
      <c r="BW9" s="12">
        <v>16</v>
      </c>
      <c r="BX9" s="12">
        <v>18</v>
      </c>
      <c r="BY9" s="12">
        <v>8</v>
      </c>
      <c r="BZ9" s="12">
        <v>4</v>
      </c>
      <c r="CA9" s="12">
        <v>10</v>
      </c>
    </row>
    <row r="10" spans="2:79" x14ac:dyDescent="0.25">
      <c r="B10" s="25" t="s">
        <v>26</v>
      </c>
      <c r="C10" s="12">
        <f t="array" ref="C10">_xlfn.IFS($B$2="Skybrook",_xlfn.IFS($J8="Back 9",INDEX($AE$12:$AM$12,1,C9),$J8="Front 9",INDEX($U$12:$AC$12,1,C9)),$B$2="Highland Creek",_xlfn.IFS($J8="Back 9",INDEX($AY$12:$BG$12,1,C9),$J8="Front 9",INDEX($AO$12:$AW$12,1,C9)),$B$2="Warrior Golf Club",_xlfn.IFS($J8="Back 9",INDEX($BS$12:$CA$12,1,C9),$J8="Front 9",INDEX($BI$12:$BQ$12,1,C9)))</f>
        <v>4</v>
      </c>
      <c r="D10" s="12">
        <f t="array" ref="D10">_xlfn.IFS($B$2="Skybrook",_xlfn.IFS($J8="Back 9",INDEX($AE$12:$AM$12,1,D9),$J8="Front 9",INDEX($U$12:$AC$12,1,D9)),$B$2="Highland Creek",_xlfn.IFS($J8="Back 9",INDEX($AY$12:$BG$12,1,D9),$J8="Front 9",INDEX($AO$12:$AW$12,1,D9)),$B$2="Warrior Golf Club",_xlfn.IFS($J8="Back 9",INDEX($BS$12:$CA$12,1,D9),$J8="Front 9",INDEX($BI$12:$BQ$12,1,D9)))</f>
        <v>3</v>
      </c>
      <c r="E10" s="26">
        <f t="array" ref="E10">_xlfn.IFS($B$2="Skybrook",_xlfn.IFS($J8="Back 9",INDEX($AE$12:$AM$12,1,E9),$J8="Front 9",INDEX($U$12:$AC$12,1,E9)),$B$2="Highland Creek",_xlfn.IFS($J8="Back 9",INDEX($AY$12:$BG$12,1,E9),$J8="Front 9",INDEX($AO$12:$AW$12,1,E9)),$B$2="Warrior Golf Club",_xlfn.IFS($J8="Back 9",INDEX($BS$12:$CA$12,1,E9),$J8="Front 9",INDEX($BI$12:$BQ$12,1,E9)))</f>
        <v>4</v>
      </c>
      <c r="F10" s="27">
        <f t="array" ref="F10">_xlfn.IFS($B$2="Skybrook",_xlfn.IFS($J8="Back 9",INDEX($AE$12:$AM$12,1,F9),$J8="Front 9",INDEX($U$12:$AC$12,1,F9)),$B$2="Highland Creek",_xlfn.IFS($J8="Back 9",INDEX($AY$12:$BG$12,1,F9),$J8="Front 9",INDEX($AO$12:$AW$12,1,F9)),$B$2="Warrior Golf Club",_xlfn.IFS($J8="Back 9",INDEX($BS$12:$CA$12,1,F9),$J8="Front 9",INDEX($BI$12:$BQ$12,1,F9)))</f>
        <v>5</v>
      </c>
      <c r="G10" s="12">
        <f t="array" ref="G10">_xlfn.IFS($B$2="Skybrook",_xlfn.IFS($J8="Back 9",INDEX($AE$12:$AM$12,1,G9),$J8="Front 9",INDEX($U$12:$AC$12,1,G9)),$B$2="Highland Creek",_xlfn.IFS($J8="Back 9",INDEX($AY$12:$BG$12,1,G9),$J8="Front 9",INDEX($AO$12:$AW$12,1,G9)),$B$2="Warrior Golf Club",_xlfn.IFS($J8="Back 9",INDEX($BS$12:$CA$12,1,G9),$J8="Front 9",INDEX($BI$12:$BQ$12,1,G9)))</f>
        <v>4</v>
      </c>
      <c r="H10" s="26">
        <f t="array" ref="H10">_xlfn.IFS($B$2="Skybrook",_xlfn.IFS($J8="Back 9",INDEX($AE$12:$AM$12,1,H9),$J8="Front 9",INDEX($U$12:$AC$12,1,H9)),$B$2="Highland Creek",_xlfn.IFS($J8="Back 9",INDEX($AY$12:$BG$12,1,H9),$J8="Front 9",INDEX($AO$12:$AW$12,1,H9)),$B$2="Warrior Golf Club",_xlfn.IFS($J8="Back 9",INDEX($BS$12:$CA$12,1,H9),$J8="Front 9",INDEX($BI$12:$BQ$12,1,H9)))</f>
        <v>4</v>
      </c>
      <c r="I10" s="27">
        <f t="array" ref="I10">_xlfn.IFS($B$2="Skybrook",_xlfn.IFS($J8="Back 9",INDEX($AE$12:$AM$12,1,I9),$J8="Front 9",INDEX($U$12:$AC$12,1,I9)),$B$2="Highland Creek",_xlfn.IFS($J8="Back 9",INDEX($AY$12:$BG$12,1,I9),$J8="Front 9",INDEX($AO$12:$AW$12,1,I9)),$B$2="Warrior Golf Club",_xlfn.IFS($J8="Back 9",INDEX($BS$12:$CA$12,1,I9),$J8="Front 9",INDEX($BI$12:$BQ$12,1,I9)))</f>
        <v>3</v>
      </c>
      <c r="J10" s="12">
        <f t="array" ref="J10">_xlfn.IFS($B$2="Skybrook",_xlfn.IFS($J8="Back 9",INDEX($AE$12:$AM$12,1,J9),$J8="Front 9",INDEX($U$12:$AC$12,1,J9)),$B$2="Highland Creek",_xlfn.IFS($J8="Back 9",INDEX($AY$12:$BG$12,1,J9),$J8="Front 9",INDEX($AO$12:$AW$12,1,J9)),$B$2="Warrior Golf Club",_xlfn.IFS($J8="Back 9",INDEX($BS$12:$CA$12,1,J9),$J8="Front 9",INDEX($BI$12:$BQ$12,1,J9)))</f>
        <v>5</v>
      </c>
      <c r="K10" s="26">
        <f t="array" ref="K10">_xlfn.IFS($B$2="Skybrook",_xlfn.IFS($J8="Back 9",INDEX($AE$12:$AM$12,1,K9),$J8="Front 9",INDEX($U$12:$AC$12,1,K9)),$B$2="Highland Creek",_xlfn.IFS($J8="Back 9",INDEX($AY$12:$BG$12,1,K9),$J8="Front 9",INDEX($AO$12:$AW$12,1,K9)),$B$2="Warrior Golf Club",_xlfn.IFS($J8="Back 9",INDEX($BS$12:$CA$12,1,K9),$J8="Front 9",INDEX($BI$12:$BQ$12,1,K9)))</f>
        <v>4</v>
      </c>
      <c r="L10" s="12">
        <f>SUM(C10:K10)</f>
        <v>36</v>
      </c>
      <c r="O10" s="22">
        <v>2</v>
      </c>
      <c r="P10" s="23" t="s">
        <v>27</v>
      </c>
      <c r="Q10" s="24">
        <f>[1]Schedule!D16</f>
        <v>12</v>
      </c>
      <c r="T10" s="2" t="s">
        <v>28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28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29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29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  <c r="BH10" s="2" t="s">
        <v>15</v>
      </c>
      <c r="BI10" s="12">
        <v>7</v>
      </c>
      <c r="BJ10" s="12">
        <v>3</v>
      </c>
      <c r="BK10" s="12">
        <v>13</v>
      </c>
      <c r="BL10" s="12">
        <v>9</v>
      </c>
      <c r="BM10" s="12">
        <v>11</v>
      </c>
      <c r="BN10" s="12">
        <v>15</v>
      </c>
      <c r="BO10" s="12">
        <v>1</v>
      </c>
      <c r="BP10" s="12">
        <v>5</v>
      </c>
      <c r="BQ10" s="12">
        <v>17</v>
      </c>
      <c r="BR10" s="2" t="s">
        <v>15</v>
      </c>
      <c r="BS10" s="12">
        <v>2</v>
      </c>
      <c r="BT10" s="12">
        <v>6</v>
      </c>
      <c r="BU10" s="12">
        <v>12</v>
      </c>
      <c r="BV10" s="12">
        <v>14</v>
      </c>
      <c r="BW10" s="12">
        <v>16</v>
      </c>
      <c r="BX10" s="12">
        <v>18</v>
      </c>
      <c r="BY10" s="12">
        <v>8</v>
      </c>
      <c r="BZ10" s="12">
        <v>4</v>
      </c>
      <c r="CA10" s="12">
        <v>10</v>
      </c>
    </row>
    <row r="11" spans="2:79" x14ac:dyDescent="0.25">
      <c r="B11" s="25" t="s">
        <v>30</v>
      </c>
      <c r="C11" s="12">
        <f t="array" ref="C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7</v>
      </c>
      <c r="D11" s="12">
        <f t="array" ref="D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15</v>
      </c>
      <c r="E11" s="26">
        <f t="array" ref="E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5</v>
      </c>
      <c r="F11" s="27">
        <f t="array" ref="F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13</v>
      </c>
      <c r="G11" s="12">
        <f t="array" ref="G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3</v>
      </c>
      <c r="H11" s="26">
        <f t="array" ref="H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11</v>
      </c>
      <c r="I11" s="27">
        <f t="array" ref="I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17</v>
      </c>
      <c r="J11" s="12">
        <f t="array" ref="J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9</v>
      </c>
      <c r="K11" s="26">
        <f t="array" ref="K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</v>
      </c>
      <c r="L11" s="12"/>
      <c r="O11" s="22">
        <f>O10+1</f>
        <v>3</v>
      </c>
      <c r="P11" s="23" t="s">
        <v>31</v>
      </c>
      <c r="Q11" s="24">
        <f>[1]Schedule!D17</f>
        <v>15</v>
      </c>
      <c r="T11" s="2" t="s">
        <v>32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32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32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32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  <c r="BH11" s="2" t="s">
        <v>29</v>
      </c>
      <c r="BI11" s="12">
        <v>7</v>
      </c>
      <c r="BJ11" s="12">
        <v>3</v>
      </c>
      <c r="BK11" s="12">
        <v>13</v>
      </c>
      <c r="BL11" s="12">
        <v>9</v>
      </c>
      <c r="BM11" s="12">
        <v>11</v>
      </c>
      <c r="BN11" s="12">
        <v>15</v>
      </c>
      <c r="BO11" s="12">
        <v>1</v>
      </c>
      <c r="BP11" s="12">
        <v>5</v>
      </c>
      <c r="BQ11" s="12">
        <v>17</v>
      </c>
      <c r="BR11" s="2" t="s">
        <v>29</v>
      </c>
      <c r="BS11" s="12">
        <v>2</v>
      </c>
      <c r="BT11" s="12">
        <v>6</v>
      </c>
      <c r="BU11" s="12">
        <v>12</v>
      </c>
      <c r="BV11" s="12">
        <v>14</v>
      </c>
      <c r="BW11" s="12">
        <v>16</v>
      </c>
      <c r="BX11" s="12">
        <v>18</v>
      </c>
      <c r="BY11" s="12">
        <v>8</v>
      </c>
      <c r="BZ11" s="12">
        <v>4</v>
      </c>
      <c r="CA11" s="12">
        <v>10</v>
      </c>
    </row>
    <row r="12" spans="2:79" ht="15" customHeight="1" x14ac:dyDescent="0.25">
      <c r="B12" s="28" t="s">
        <v>33</v>
      </c>
      <c r="C12" s="29">
        <v>7</v>
      </c>
      <c r="D12" s="30">
        <v>3</v>
      </c>
      <c r="E12" s="31">
        <v>7</v>
      </c>
      <c r="F12" s="29">
        <v>7</v>
      </c>
      <c r="G12" s="30">
        <v>5</v>
      </c>
      <c r="H12" s="31">
        <v>5</v>
      </c>
      <c r="I12" s="29">
        <v>3</v>
      </c>
      <c r="J12" s="30">
        <v>6</v>
      </c>
      <c r="K12" s="31">
        <v>6</v>
      </c>
      <c r="L12" s="12">
        <f>SUM(C12:K12)</f>
        <v>49</v>
      </c>
      <c r="M12" s="32">
        <f>SUM(C12:K12)-SUM(C$10:K$10)</f>
        <v>13</v>
      </c>
      <c r="O12" s="22">
        <v>4</v>
      </c>
      <c r="P12" s="23" t="s">
        <v>34</v>
      </c>
      <c r="Q12" s="24">
        <f>[1]Schedule!D18</f>
        <v>24</v>
      </c>
      <c r="T12" s="2" t="s">
        <v>35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35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35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35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  <c r="BH12" s="2" t="s">
        <v>35</v>
      </c>
      <c r="BI12" s="33">
        <v>5</v>
      </c>
      <c r="BJ12" s="33">
        <v>4</v>
      </c>
      <c r="BK12" s="33">
        <v>3</v>
      </c>
      <c r="BL12" s="33">
        <v>5</v>
      </c>
      <c r="BM12" s="33">
        <v>4</v>
      </c>
      <c r="BN12" s="33">
        <v>3</v>
      </c>
      <c r="BO12" s="33">
        <v>4</v>
      </c>
      <c r="BP12" s="33">
        <v>3</v>
      </c>
      <c r="BQ12" s="33">
        <v>4</v>
      </c>
      <c r="BR12" s="2" t="s">
        <v>35</v>
      </c>
      <c r="BS12" s="33">
        <v>4</v>
      </c>
      <c r="BT12" s="33">
        <v>4</v>
      </c>
      <c r="BU12" s="33">
        <v>3</v>
      </c>
      <c r="BV12" s="33">
        <v>5</v>
      </c>
      <c r="BW12" s="33">
        <v>4</v>
      </c>
      <c r="BX12" s="33">
        <v>4</v>
      </c>
      <c r="BY12" s="33">
        <v>3</v>
      </c>
      <c r="BZ12" s="33">
        <v>5</v>
      </c>
      <c r="CA12" s="33">
        <v>4</v>
      </c>
    </row>
    <row r="13" spans="2:79" x14ac:dyDescent="0.25">
      <c r="B13" s="25" t="s">
        <v>36</v>
      </c>
      <c r="C13" s="27">
        <f t="shared" ref="C13:K13" si="0">INT($D$8/18)+IF(C11&lt;=MOD($D$8,18),1,0)</f>
        <v>2</v>
      </c>
      <c r="D13" s="12">
        <f t="shared" si="0"/>
        <v>1</v>
      </c>
      <c r="E13" s="26">
        <f t="shared" si="0"/>
        <v>2</v>
      </c>
      <c r="F13" s="27">
        <f t="shared" si="0"/>
        <v>1</v>
      </c>
      <c r="G13" s="12">
        <f t="shared" si="0"/>
        <v>2</v>
      </c>
      <c r="H13" s="26">
        <f t="shared" si="0"/>
        <v>1</v>
      </c>
      <c r="I13" s="27">
        <f t="shared" si="0"/>
        <v>1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37</v>
      </c>
      <c r="Q13" s="24">
        <f>[1]Schedule!D19</f>
        <v>25</v>
      </c>
    </row>
    <row r="14" spans="2:79" x14ac:dyDescent="0.25">
      <c r="B14" s="25" t="s">
        <v>38</v>
      </c>
      <c r="C14" s="27">
        <f>C12-C13</f>
        <v>5</v>
      </c>
      <c r="D14" s="12">
        <f t="shared" ref="D14:K14" si="1">D12-INT($D$8/18)-IF(D11&lt;=MOD($D$8,18),1,0)</f>
        <v>2</v>
      </c>
      <c r="E14" s="26">
        <f t="shared" si="1"/>
        <v>5</v>
      </c>
      <c r="F14" s="27">
        <f t="shared" si="1"/>
        <v>6</v>
      </c>
      <c r="G14" s="12">
        <f t="shared" si="1"/>
        <v>3</v>
      </c>
      <c r="H14" s="26">
        <f t="shared" si="1"/>
        <v>4</v>
      </c>
      <c r="I14" s="27">
        <f t="shared" si="1"/>
        <v>2</v>
      </c>
      <c r="J14" s="12">
        <f t="shared" si="1"/>
        <v>4</v>
      </c>
      <c r="K14" s="26">
        <f t="shared" si="1"/>
        <v>4</v>
      </c>
      <c r="L14" s="34">
        <f>SUM(C14:K14)</f>
        <v>35</v>
      </c>
      <c r="M14" s="32">
        <f>SUM(C14:K14)-SUM(C$10:K$10)</f>
        <v>-1</v>
      </c>
      <c r="O14" s="22">
        <v>6</v>
      </c>
      <c r="P14" s="23" t="s">
        <v>39</v>
      </c>
      <c r="Q14" s="24">
        <f>[1]Schedule!D20</f>
        <v>24</v>
      </c>
    </row>
    <row r="15" spans="2:79" ht="14.25" customHeight="1" thickBot="1" x14ac:dyDescent="0.3">
      <c r="B15" s="35" t="s">
        <v>40</v>
      </c>
      <c r="C15" s="36">
        <f t="shared" ref="C15:K15" si="2">IF(C14&lt;C23,1,0)</f>
        <v>0</v>
      </c>
      <c r="D15" s="37">
        <f t="shared" si="2"/>
        <v>1</v>
      </c>
      <c r="E15" s="38">
        <f t="shared" si="2"/>
        <v>1</v>
      </c>
      <c r="F15" s="36">
        <f t="shared" si="2"/>
        <v>1</v>
      </c>
      <c r="G15" s="37">
        <f t="shared" si="2"/>
        <v>0</v>
      </c>
      <c r="H15" s="38">
        <f t="shared" si="2"/>
        <v>1</v>
      </c>
      <c r="I15" s="36">
        <f t="shared" si="2"/>
        <v>1</v>
      </c>
      <c r="J15" s="37">
        <f t="shared" si="2"/>
        <v>1</v>
      </c>
      <c r="K15" s="38">
        <f t="shared" si="2"/>
        <v>1</v>
      </c>
      <c r="L15" s="12"/>
      <c r="O15" s="22">
        <f>O14+1</f>
        <v>7</v>
      </c>
      <c r="P15" s="23" t="s">
        <v>41</v>
      </c>
      <c r="Q15" s="24">
        <f>[1]Schedule!D21</f>
        <v>30</v>
      </c>
    </row>
    <row r="16" spans="2:7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42</v>
      </c>
      <c r="Q16" s="24">
        <f>[1]Schedule!D22</f>
        <v>28</v>
      </c>
    </row>
    <row r="17" spans="2:17" ht="16.5" customHeight="1" thickBot="1" x14ac:dyDescent="0.3">
      <c r="B17" s="13" t="s">
        <v>44</v>
      </c>
      <c r="C17" s="14" t="s">
        <v>13</v>
      </c>
      <c r="D17" s="12">
        <f>_xlfn.XLOOKUP(B17,$P$9:$P$23,$Q$9:$Q$23)</f>
        <v>28</v>
      </c>
      <c r="E17" s="12"/>
      <c r="F17" s="12" t="s">
        <v>14</v>
      </c>
      <c r="G17" s="15" t="s">
        <v>15</v>
      </c>
      <c r="H17" s="12"/>
      <c r="I17" s="12" t="s">
        <v>16</v>
      </c>
      <c r="J17" s="12" t="str">
        <f>J8</f>
        <v>Front 9</v>
      </c>
      <c r="K17" s="12"/>
      <c r="L17" s="12"/>
      <c r="O17" s="22">
        <v>9</v>
      </c>
      <c r="P17" s="23" t="s">
        <v>44</v>
      </c>
      <c r="Q17" s="24">
        <f>[1]Schedule!D23</f>
        <v>28</v>
      </c>
    </row>
    <row r="18" spans="2:17" ht="15" customHeight="1" x14ac:dyDescent="0.25">
      <c r="B18" s="18" t="s">
        <v>23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45</v>
      </c>
      <c r="Q18" s="24">
        <f>[1]Schedule!D24</f>
        <v>20</v>
      </c>
    </row>
    <row r="19" spans="2:17" x14ac:dyDescent="0.25">
      <c r="B19" s="25" t="s">
        <v>26</v>
      </c>
      <c r="C19" s="12">
        <f t="array" ref="C19">_xlfn.IFS($B$2="Skybrook",_xlfn.IFS($J17="Back 9",INDEX($AE$12:$AM$12,1,C18),$J17="Front 9",INDEX($U$12:$AC$12,1,C18)),$B$2="Highland Creek",_xlfn.IFS($J17="Back 9",INDEX($AY$12:$BG$12,1,C18),$J17="Front 9",INDEX($AO$12:$AW$12,1,C18)),$B$2="Warrior Golf Club",_xlfn.IFS($J17="Back 9",INDEX($BS$12:$CA$12,1,C18),$J17="Front 9",INDEX($BI$12:$BQ$12,1,C18)))</f>
        <v>4</v>
      </c>
      <c r="D19" s="12">
        <f t="array" ref="D19">_xlfn.IFS($B$2="Skybrook",_xlfn.IFS($J17="Back 9",INDEX($AE$12:$AM$12,1,D18),$J17="Front 9",INDEX($U$12:$AC$12,1,D18)),$B$2="Highland Creek",_xlfn.IFS($J17="Back 9",INDEX($AY$12:$BG$12,1,D18),$J17="Front 9",INDEX($AO$12:$AW$12,1,D18)),$B$2="Warrior Golf Club",_xlfn.IFS($J17="Back 9",INDEX($BS$12:$CA$12,1,D18),$J17="Front 9",INDEX($BI$12:$BQ$12,1,D18)))</f>
        <v>3</v>
      </c>
      <c r="E19" s="26">
        <f t="array" ref="E19">_xlfn.IFS($B$2="Skybrook",_xlfn.IFS($J17="Back 9",INDEX($AE$12:$AM$12,1,E18),$J17="Front 9",INDEX($U$12:$AC$12,1,E18)),$B$2="Highland Creek",_xlfn.IFS($J17="Back 9",INDEX($AY$12:$BG$12,1,E18),$J17="Front 9",INDEX($AO$12:$AW$12,1,E18)),$B$2="Warrior Golf Club",_xlfn.IFS($J17="Back 9",INDEX($BS$12:$CA$12,1,E18),$J17="Front 9",INDEX($BI$12:$BQ$12,1,E18)))</f>
        <v>4</v>
      </c>
      <c r="F19" s="27">
        <f t="array" ref="F19">_xlfn.IFS($B$2="Skybrook",_xlfn.IFS($J17="Back 9",INDEX($AE$12:$AM$12,1,F18),$J17="Front 9",INDEX($U$12:$AC$12,1,F18)),$B$2="Highland Creek",_xlfn.IFS($J17="Back 9",INDEX($AY$12:$BG$12,1,F18),$J17="Front 9",INDEX($AO$12:$AW$12,1,F18)),$B$2="Warrior Golf Club",_xlfn.IFS($J17="Back 9",INDEX($BS$12:$CA$12,1,F18),$J17="Front 9",INDEX($BI$12:$BQ$12,1,F18)))</f>
        <v>5</v>
      </c>
      <c r="G19" s="12">
        <f t="array" ref="G19">_xlfn.IFS($B$2="Skybrook",_xlfn.IFS($J17="Back 9",INDEX($AE$12:$AM$12,1,G18),$J17="Front 9",INDEX($U$12:$AC$12,1,G18)),$B$2="Highland Creek",_xlfn.IFS($J17="Back 9",INDEX($AY$12:$BG$12,1,G18),$J17="Front 9",INDEX($AO$12:$AW$12,1,G18)),$B$2="Warrior Golf Club",_xlfn.IFS($J17="Back 9",INDEX($BS$12:$CA$12,1,G18),$J17="Front 9",INDEX($BI$12:$BQ$12,1,G18)))</f>
        <v>4</v>
      </c>
      <c r="H19" s="26">
        <f t="array" ref="H19">_xlfn.IFS($B$2="Skybrook",_xlfn.IFS($J17="Back 9",INDEX($AE$12:$AM$12,1,H18),$J17="Front 9",INDEX($U$12:$AC$12,1,H18)),$B$2="Highland Creek",_xlfn.IFS($J17="Back 9",INDEX($AY$12:$BG$12,1,H18),$J17="Front 9",INDEX($AO$12:$AW$12,1,H18)),$B$2="Warrior Golf Club",_xlfn.IFS($J17="Back 9",INDEX($BS$12:$CA$12,1,H18),$J17="Front 9",INDEX($BI$12:$BQ$12,1,H18)))</f>
        <v>4</v>
      </c>
      <c r="I19" s="27">
        <f t="array" ref="I19">_xlfn.IFS($B$2="Skybrook",_xlfn.IFS($J17="Back 9",INDEX($AE$12:$AM$12,1,I18),$J17="Front 9",INDEX($U$12:$AC$12,1,I18)),$B$2="Highland Creek",_xlfn.IFS($J17="Back 9",INDEX($AY$12:$BG$12,1,I18),$J17="Front 9",INDEX($AO$12:$AW$12,1,I18)),$B$2="Warrior Golf Club",_xlfn.IFS($J17="Back 9",INDEX($BS$12:$CA$12,1,I18),$J17="Front 9",INDEX($BI$12:$BQ$12,1,I18)))</f>
        <v>3</v>
      </c>
      <c r="J19" s="12">
        <f t="array" ref="J19">_xlfn.IFS($B$2="Skybrook",_xlfn.IFS($J17="Back 9",INDEX($AE$12:$AM$12,1,J18),$J17="Front 9",INDEX($U$12:$AC$12,1,J18)),$B$2="Highland Creek",_xlfn.IFS($J17="Back 9",INDEX($AY$12:$BG$12,1,J18),$J17="Front 9",INDEX($AO$12:$AW$12,1,J18)),$B$2="Warrior Golf Club",_xlfn.IFS($J17="Back 9",INDEX($BS$12:$CA$12,1,J18),$J17="Front 9",INDEX($BI$12:$BQ$12,1,J18)))</f>
        <v>5</v>
      </c>
      <c r="K19" s="26">
        <f t="array" ref="K19">_xlfn.IFS($B$2="Skybrook",_xlfn.IFS($J17="Back 9",INDEX($AE$12:$AM$12,1,K18),$J17="Front 9",INDEX($U$12:$AC$12,1,K18)),$B$2="Highland Creek",_xlfn.IFS($J17="Back 9",INDEX($AY$12:$BG$12,1,K18),$J17="Front 9",INDEX($AO$12:$AW$12,1,K18)),$B$2="Warrior Golf Club",_xlfn.IFS($J17="Back 9",INDEX($BS$12:$CA$12,1,K18),$J17="Front 9",INDEX($BI$12:$BQ$12,1,K18)))</f>
        <v>4</v>
      </c>
      <c r="L19" s="12">
        <f>SUM(C19:K19)</f>
        <v>36</v>
      </c>
      <c r="O19" s="22">
        <f>O18+1</f>
        <v>11</v>
      </c>
      <c r="P19" s="23" t="s">
        <v>46</v>
      </c>
      <c r="Q19" s="24">
        <f>[1]Schedule!D25</f>
        <v>36</v>
      </c>
    </row>
    <row r="20" spans="2:17" x14ac:dyDescent="0.25">
      <c r="B20" s="25" t="s">
        <v>30</v>
      </c>
      <c r="C20" s="12">
        <f t="array" ref="C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7</v>
      </c>
      <c r="D20" s="12">
        <f t="array" ref="D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15</v>
      </c>
      <c r="E20" s="26">
        <f t="array" ref="E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5</v>
      </c>
      <c r="F20" s="27">
        <f t="array" ref="F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13</v>
      </c>
      <c r="G20" s="12">
        <f t="array" ref="G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3</v>
      </c>
     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11</v>
      </c>
      <c r="I20" s="27">
        <f t="array" ref="I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17</v>
      </c>
      <c r="J20" s="12">
        <f t="array" ref="J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9</v>
      </c>
      <c r="K20" s="26">
        <f t="array" ref="K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</v>
      </c>
      <c r="L20" s="12"/>
      <c r="O20" s="22">
        <v>12</v>
      </c>
      <c r="P20" s="23" t="s">
        <v>43</v>
      </c>
      <c r="Q20" s="24">
        <f>[1]Schedule!D26</f>
        <v>36</v>
      </c>
    </row>
    <row r="21" spans="2:17" ht="15" customHeight="1" x14ac:dyDescent="0.25">
      <c r="B21" s="28" t="s">
        <v>33</v>
      </c>
      <c r="C21" s="29">
        <v>6</v>
      </c>
      <c r="D21" s="30">
        <v>6</v>
      </c>
      <c r="E21" s="31">
        <v>8</v>
      </c>
      <c r="F21" s="29">
        <v>8</v>
      </c>
      <c r="G21" s="30">
        <v>4</v>
      </c>
      <c r="H21" s="31">
        <v>6</v>
      </c>
      <c r="I21" s="29">
        <v>4</v>
      </c>
      <c r="J21" s="30">
        <v>8</v>
      </c>
      <c r="K21" s="31">
        <v>8</v>
      </c>
      <c r="L21" s="12">
        <f>SUM(C21:K21)</f>
        <v>58</v>
      </c>
      <c r="M21" s="32">
        <f>SUM(C21:K21)-SUM(C$10:K$10)</f>
        <v>22</v>
      </c>
      <c r="O21" s="22">
        <v>13</v>
      </c>
      <c r="P21" s="23" t="s">
        <v>47</v>
      </c>
      <c r="Q21" s="24">
        <f>[1]Schedule!D27</f>
        <v>36</v>
      </c>
    </row>
    <row r="22" spans="2:17" x14ac:dyDescent="0.25">
      <c r="B22" s="25" t="s">
        <v>36</v>
      </c>
      <c r="C22" s="27">
        <f t="shared" ref="C22:K22" si="3">INT($D$17/18)+IF(C20&lt;=MOD($D$17,18),1,0)</f>
        <v>2</v>
      </c>
      <c r="D22" s="12">
        <f t="shared" si="3"/>
        <v>1</v>
      </c>
      <c r="E22" s="26">
        <f t="shared" si="3"/>
        <v>2</v>
      </c>
      <c r="F22" s="27">
        <f t="shared" si="3"/>
        <v>1</v>
      </c>
      <c r="G22" s="12">
        <f t="shared" si="3"/>
        <v>2</v>
      </c>
      <c r="H22" s="26">
        <f t="shared" si="3"/>
        <v>1</v>
      </c>
      <c r="I22" s="27">
        <f t="shared" si="3"/>
        <v>1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48</v>
      </c>
      <c r="Q22" s="24">
        <f>[1]Schedule!D28</f>
        <v>36</v>
      </c>
    </row>
    <row r="23" spans="2:17" x14ac:dyDescent="0.25">
      <c r="B23" s="25" t="s">
        <v>38</v>
      </c>
      <c r="C23" s="27">
        <f t="shared" ref="C23:K23" si="4">C21-C22</f>
        <v>4</v>
      </c>
      <c r="D23" s="12">
        <f t="shared" si="4"/>
        <v>5</v>
      </c>
      <c r="E23" s="26">
        <f t="shared" si="4"/>
        <v>6</v>
      </c>
      <c r="F23" s="27">
        <f t="shared" si="4"/>
        <v>7</v>
      </c>
      <c r="G23" s="12">
        <f t="shared" si="4"/>
        <v>2</v>
      </c>
      <c r="H23" s="26">
        <f t="shared" si="4"/>
        <v>5</v>
      </c>
      <c r="I23" s="27">
        <f t="shared" si="4"/>
        <v>3</v>
      </c>
      <c r="J23" s="12">
        <f t="shared" si="4"/>
        <v>6</v>
      </c>
      <c r="K23" s="26">
        <f t="shared" si="4"/>
        <v>6</v>
      </c>
      <c r="L23" s="34">
        <f>SUM(C23:K23)</f>
        <v>44</v>
      </c>
      <c r="M23" s="32">
        <f>SUM(C23:K23)-SUM(C$10:K$10)</f>
        <v>8</v>
      </c>
      <c r="O23" s="22">
        <v>15</v>
      </c>
      <c r="P23" s="23" t="s">
        <v>12</v>
      </c>
      <c r="Q23" s="24">
        <f>[1]Schedule!D29</f>
        <v>36</v>
      </c>
    </row>
    <row r="24" spans="2:17" ht="14.25" customHeight="1" thickBot="1" x14ac:dyDescent="0.25">
      <c r="B24" s="35" t="s">
        <v>40</v>
      </c>
      <c r="C24" s="36">
        <f t="shared" ref="C24:K24" si="5">IF(C23&lt;C14,1,0)</f>
        <v>1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1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</sheetData>
  <mergeCells count="16">
    <mergeCell ref="B3:B4"/>
    <mergeCell ref="T7:AM7"/>
    <mergeCell ref="J1:M1"/>
    <mergeCell ref="AD8:AM8"/>
    <mergeCell ref="AX8:BG8"/>
    <mergeCell ref="AN7:BG7"/>
    <mergeCell ref="L3:M5"/>
    <mergeCell ref="U8:AC8"/>
    <mergeCell ref="B5:B6"/>
    <mergeCell ref="AO8:AW8"/>
    <mergeCell ref="L2:M2"/>
    <mergeCell ref="BH7:CA7"/>
    <mergeCell ref="J3:K5"/>
    <mergeCell ref="J2:K2"/>
    <mergeCell ref="BR8:CA8"/>
    <mergeCell ref="BI8:BQ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00000000-0002-0000-0000-000000000000}">
      <formula1>$P$9:$P$23</formula1>
    </dataValidation>
    <dataValidation type="list" allowBlank="1" showInputMessage="1" showErrorMessage="1" sqref="G8 G17 G29" xr:uid="{00000000-0002-0000-0000-000001000000}">
      <formula1>INDIRECT(SUBSTITUTE($B$2," ","_"))</formula1>
    </dataValidation>
    <dataValidation type="list" allowBlank="1" showInputMessage="1" showErrorMessage="1" sqref="B2" xr:uid="{00000000-0002-0000-0000-000002000000}">
      <formula1>$T$7:$CA$7</formula1>
    </dataValidation>
    <dataValidation type="list" showInputMessage="1" showErrorMessage="1" sqref="J8 J17" xr:uid="{00000000-0002-0000-0000-000003000000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E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5" x14ac:dyDescent="0.2">
      <c r="C2" t="s">
        <v>10</v>
      </c>
      <c r="D2" t="s">
        <v>49</v>
      </c>
      <c r="E2" t="s">
        <v>50</v>
      </c>
    </row>
    <row r="3" spans="3:5" x14ac:dyDescent="0.2">
      <c r="C3" t="s">
        <v>15</v>
      </c>
      <c r="D3" t="s">
        <v>15</v>
      </c>
      <c r="E3" t="s">
        <v>25</v>
      </c>
    </row>
    <row r="4" spans="3:5" x14ac:dyDescent="0.2">
      <c r="C4" t="s">
        <v>28</v>
      </c>
      <c r="D4" t="s">
        <v>29</v>
      </c>
      <c r="E4" t="s">
        <v>15</v>
      </c>
    </row>
    <row r="5" spans="3:5" x14ac:dyDescent="0.2">
      <c r="C5" t="s">
        <v>32</v>
      </c>
      <c r="D5" t="s">
        <v>32</v>
      </c>
      <c r="E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Calculator</vt:lpstr>
      <vt:lpstr>Helper</vt:lpstr>
      <vt:lpstr>Highland_Creek</vt:lpstr>
      <vt:lpstr>Skybrook</vt:lpstr>
      <vt:lpstr>Warrior_Golf_Club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2026-07-06T13:14:42Z</dcterms:modified>
</cp:coreProperties>
</file>