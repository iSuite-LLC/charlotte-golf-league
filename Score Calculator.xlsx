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51" documentId="8_{A2D2493B-942A-431B-BFE9-D343A07FD7E4}" xr6:coauthVersionLast="47" xr6:coauthVersionMax="47" xr10:uidLastSave="{8A46916E-8595-4D1A-A232-B654FD32FB82}"/>
  <bookViews>
    <workbookView xWindow="-12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D24" i="1" s="1"/>
  <c r="G13" i="1"/>
  <c r="J22" i="1"/>
  <c r="J23" i="1" s="1"/>
  <c r="F13" i="1"/>
  <c r="K13" i="1"/>
  <c r="J13" i="1"/>
  <c r="I22" i="1"/>
  <c r="I23" i="1" s="1"/>
  <c r="L19" i="1"/>
  <c r="F15" i="1" l="1"/>
  <c r="G15" i="1"/>
  <c r="K24" i="1"/>
  <c r="J15" i="1"/>
  <c r="C24" i="1"/>
  <c r="D5" i="1" s="1"/>
  <c r="H24" i="1"/>
  <c r="M23" i="1"/>
  <c r="I15" i="1"/>
  <c r="M14" i="1"/>
  <c r="G24" i="1"/>
  <c r="J24" i="1"/>
  <c r="I24" i="1"/>
  <c r="D15" i="1"/>
  <c r="K15" i="1"/>
  <c r="F3" i="1" s="1"/>
  <c r="C15" i="1"/>
  <c r="E15" i="1"/>
  <c r="H3" i="1"/>
  <c r="F24" i="1"/>
  <c r="L14" i="1"/>
  <c r="L23" i="1"/>
  <c r="H5" i="1"/>
  <c r="E3" i="1" l="1"/>
  <c r="F5" i="1"/>
  <c r="F6" i="1" s="1"/>
  <c r="D3" i="1"/>
  <c r="D6" i="1" s="1"/>
  <c r="G5" i="1"/>
  <c r="E5" i="1"/>
  <c r="H4" i="1"/>
  <c r="H6" i="1"/>
  <c r="G3" i="1"/>
  <c r="F4" i="1"/>
  <c r="E4" i="1" l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<sst xmlns="http://schemas.openxmlformats.org/spreadsheetml/2006/main" count="88" uniqueCount="48">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</sst>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Alex Palmer</v>
      </c>
      <c r="K2" s="44"/>
      <c r="L2" s="45" t="str">
        <f>B17</f>
        <v>Kaylan Adams</v>
      </c>
      <c r="M2" s="44"/>
    </row>
    <row r="3" spans="2:59" ht="14.25" customHeight="1" thickBot="1" x14ac:dyDescent="0.25">
      <c r="B3" s="46" t="str">
        <f>J2</f>
        <v>Alex Palmer</v>
      </c>
      <c r="C3" s="6" t="s">
        <v>8</v>
      </c>
      <c r="D3" s="7">
        <f>SUM(C15:E15)</f>
        <v>2</v>
      </c>
      <c r="E3" s="7">
        <f>SUM(F15:H15)</f>
        <v>1</v>
      </c>
      <c r="F3" s="7">
        <f>SUM(I15:K15)</f>
        <v>2</v>
      </c>
      <c r="G3" s="7">
        <f>SUM(C15:K15)</f>
        <v>5</v>
      </c>
      <c r="H3" s="7">
        <f>SUM(C14:K14)</f>
        <v>39</v>
      </c>
      <c r="J3" s="48">
        <f>SUM(D4:H4)</f>
        <v>7</v>
      </c>
      <c r="K3" s="49"/>
      <c r="L3" s="53">
        <f>SUM(D6:H6)</f>
        <v>1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2</v>
      </c>
      <c r="E4" s="9">
        <f>IF(E3&gt;E5,2,IF(E3=E5,1,0))</f>
        <v>1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Kaylan Adams</v>
      </c>
      <c r="C5" s="10" t="s">
        <v>8</v>
      </c>
      <c r="D5" s="11">
        <f>SUM(C24:E24)</f>
        <v>0</v>
      </c>
      <c r="E5" s="11">
        <f>SUM(F24:H24)</f>
        <v>1</v>
      </c>
      <c r="F5" s="11">
        <f>SUM(I24:K24)</f>
        <v>0</v>
      </c>
      <c r="G5" s="11">
        <f>SUM(C24:K24)</f>
        <v>1</v>
      </c>
      <c r="H5" s="11">
        <f>SUM(C23:K23)</f>
        <v>54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0</v>
      </c>
      <c r="E6" s="9">
        <f>IF(E5&gt;E3,2,IF(E5=E3,1,0))</f>
        <v>1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39</v>
      </c>
      <c r="C8" s="14" t="s">
        <v>12</v>
      </c>
      <c r="D8" s="12">
        <f>_xlfn.XLOOKUP(B8,$P$9:$P$23,$Q$9:$Q$23)</f>
        <v>27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4</v>
      </c>
      <c r="D12" s="30">
        <v>7</v>
      </c>
      <c r="E12" s="31">
        <v>5</v>
      </c>
      <c r="F12" s="29">
        <v>4</v>
      </c>
      <c r="G12" s="30">
        <v>8</v>
      </c>
      <c r="H12" s="31">
        <v>6</v>
      </c>
      <c r="I12" s="29">
        <v>7</v>
      </c>
      <c r="J12" s="30">
        <v>4</v>
      </c>
      <c r="K12" s="31">
        <v>8</v>
      </c>
      <c r="L12" s="12">
        <f>SUM(C12:K12)</f>
        <v>53</v>
      </c>
      <c r="M12" s="32">
        <f>SUM(C12:K12)-SUM(C$10:K$10)</f>
        <v>17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1</v>
      </c>
      <c r="E13" s="26">
        <f t="shared" si="0"/>
        <v>1</v>
      </c>
      <c r="F13" s="27">
        <f t="shared" si="0"/>
        <v>2</v>
      </c>
      <c r="G13" s="12">
        <f t="shared" si="0"/>
        <v>1</v>
      </c>
      <c r="H13" s="26">
        <f t="shared" si="0"/>
        <v>2</v>
      </c>
      <c r="I13" s="27">
        <f t="shared" si="0"/>
        <v>1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2</v>
      </c>
      <c r="D14" s="12">
        <f t="shared" ref="D14:K14" si="1">D12-INT($D$8/18)-IF(D11&lt;=MOD($D$8,18),1,0)</f>
        <v>6</v>
      </c>
      <c r="E14" s="26">
        <f t="shared" si="1"/>
        <v>4</v>
      </c>
      <c r="F14" s="27">
        <f t="shared" si="1"/>
        <v>2</v>
      </c>
      <c r="G14" s="12">
        <f t="shared" si="1"/>
        <v>7</v>
      </c>
      <c r="H14" s="26">
        <f t="shared" si="1"/>
        <v>4</v>
      </c>
      <c r="I14" s="27">
        <f t="shared" si="1"/>
        <v>6</v>
      </c>
      <c r="J14" s="12">
        <f t="shared" si="1"/>
        <v>2</v>
      </c>
      <c r="K14" s="26">
        <f t="shared" si="1"/>
        <v>6</v>
      </c>
      <c r="L14" s="34">
        <f>SUM(C14:K14)</f>
        <v>39</v>
      </c>
      <c r="M14" s="32">
        <f>SUM(C14:K14)-SUM(C$10:K$10)</f>
        <v>3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1</v>
      </c>
      <c r="E15" s="38">
        <f t="shared" si="2"/>
        <v>0</v>
      </c>
      <c r="F15" s="36">
        <f t="shared" si="2"/>
        <v>1</v>
      </c>
      <c r="G15" s="37">
        <f t="shared" si="2"/>
        <v>0</v>
      </c>
      <c r="H15" s="38">
        <f t="shared" si="2"/>
        <v>0</v>
      </c>
      <c r="I15" s="36">
        <f t="shared" si="2"/>
        <v>1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45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10</v>
      </c>
      <c r="E21" s="31">
        <v>6</v>
      </c>
      <c r="F21" s="29">
        <v>8</v>
      </c>
      <c r="G21" s="30">
        <v>8</v>
      </c>
      <c r="H21" s="31">
        <v>6</v>
      </c>
      <c r="I21" s="29">
        <v>10</v>
      </c>
      <c r="J21" s="30">
        <v>8</v>
      </c>
      <c r="K21" s="31">
        <v>8</v>
      </c>
      <c r="L21" s="12">
        <f>SUM(C21:K21)</f>
        <v>72</v>
      </c>
      <c r="M21" s="32">
        <f>SUM(C21:K21)-SUM(C$10:K$10)</f>
        <v>36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8</v>
      </c>
      <c r="E23" s="26">
        <f t="shared" si="4"/>
        <v>4</v>
      </c>
      <c r="F23" s="27">
        <f t="shared" si="4"/>
        <v>6</v>
      </c>
      <c r="G23" s="12">
        <f t="shared" si="4"/>
        <v>6</v>
      </c>
      <c r="H23" s="26">
        <f t="shared" si="4"/>
        <v>4</v>
      </c>
      <c r="I23" s="27">
        <f t="shared" si="4"/>
        <v>8</v>
      </c>
      <c r="J23" s="12">
        <f t="shared" si="4"/>
        <v>6</v>
      </c>
      <c r="K23" s="26">
        <f t="shared" si="4"/>
        <v>6</v>
      </c>
      <c r="L23" s="34">
        <f>SUM(C23:K23)</f>
        <v>54</v>
      </c>
      <c r="M23" s="32">
        <f>SUM(C23:K23)-SUM(C$10:K$10)</f>
        <v>18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1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2026-05-21T12:39:16Z</dcterms:modified>
</cp:coreProperties>
</file>