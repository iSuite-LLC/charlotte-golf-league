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icompanies-my.sharepoint.com/personal/ehigh_iengtobuild_com/Documents/Documents/Golf League/"/>
    </mc:Choice>
  </mc:AlternateContent>
  <xr:revisionPtr revIDLastSave="54" documentId="11_F79F0194A688F399554C0C2CC307F263D8A13CD6" xr6:coauthVersionLast="47" xr6:coauthVersionMax="47" xr10:uidLastSave="{94C9C597-CF82-4441-B087-34D15CBB94D3}"/>
  <bookViews>
    <workbookView xWindow="38295" yWindow="0" windowWidth="19410" windowHeight="20985" xr2:uid="{00000000-000D-0000-FFFF-FFFF00000000}"/>
  </bookViews>
  <sheets>
    <sheet name="Calculator" sheetId="1" r:id="rId1"/>
    <sheet name="Helper" sheetId="2" state="hidden" r:id="rId2"/>
  </sheets>
  <externalReferences>
    <externalReference r:id="rId3"/>
  </externalReferences>
  <definedNames>
    <definedName name="Emerald_Lake">Helper!$F$3:$F$5</definedName>
    <definedName name="Highland_Creek">Helper!$D$3:$D$5</definedName>
    <definedName name="Skybrook">Helper!$C$3:$C$5</definedName>
    <definedName name="Warrior_Golf_Club">Helper!$E$3:$E$5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" l="1"/>
  <c r="Q22" i="1"/>
  <c r="Q21" i="1"/>
  <c r="L21" i="1"/>
  <c r="Q20" i="1"/>
  <c r="D17" i="1" s="1"/>
  <c r="Q19" i="1"/>
  <c r="O19" i="1"/>
  <c r="Q18" i="1"/>
  <c r="Q17" i="1"/>
  <c r="J17" i="1"/>
  <c r="C19" i="1" s="1" a="1"/>
  <c r="C19" i="1" s="1"/>
  <c r="Q16" i="1"/>
  <c r="Q15" i="1"/>
  <c r="O15" i="1"/>
  <c r="Q14" i="1"/>
  <c r="Q13" i="1"/>
  <c r="Q12" i="1"/>
  <c r="L12" i="1"/>
  <c r="Q11" i="1"/>
  <c r="O11" i="1"/>
  <c r="K11" i="1" a="1"/>
  <c r="K11" i="1" s="1"/>
  <c r="J11" i="1" a="1"/>
  <c r="J11" i="1" s="1"/>
  <c r="I11" i="1" a="1"/>
  <c r="I11" i="1" s="1"/>
  <c r="H11" i="1" a="1"/>
  <c r="H11" i="1" s="1"/>
  <c r="G11" i="1" a="1"/>
  <c r="G11" i="1" s="1"/>
  <c r="F11" i="1" a="1"/>
  <c r="F11" i="1" s="1"/>
  <c r="E11" i="1" a="1"/>
  <c r="E11" i="1" s="1"/>
  <c r="D11" i="1" a="1"/>
  <c r="D11" i="1" s="1"/>
  <c r="C11" i="1" a="1"/>
  <c r="C11" i="1" s="1"/>
  <c r="Q10" i="1"/>
  <c r="K10" i="1" a="1"/>
  <c r="K10" i="1" s="1"/>
  <c r="J10" i="1" a="1"/>
  <c r="J10" i="1" s="1"/>
  <c r="I10" i="1" a="1"/>
  <c r="I10" i="1" s="1"/>
  <c r="H10" i="1" a="1"/>
  <c r="H10" i="1" s="1"/>
  <c r="G10" i="1" a="1"/>
  <c r="G10" i="1" s="1"/>
  <c r="F10" i="1" a="1"/>
  <c r="F10" i="1" s="1"/>
  <c r="E10" i="1" a="1"/>
  <c r="E10" i="1" s="1"/>
  <c r="D10" i="1" a="1"/>
  <c r="D10" i="1" s="1"/>
  <c r="C10" i="1" a="1"/>
  <c r="C10" i="1" s="1"/>
  <c r="Q9" i="1"/>
  <c r="D8" i="1"/>
  <c r="L2" i="1"/>
  <c r="B5" i="1" s="1"/>
  <c r="J2" i="1"/>
  <c r="B3" i="1" s="1"/>
  <c r="K14" i="1" l="1"/>
  <c r="D13" i="1"/>
  <c r="E13" i="1"/>
  <c r="C13" i="1"/>
  <c r="C14" i="1" s="1"/>
  <c r="I19" i="1" a="1"/>
  <c r="I19" i="1" s="1"/>
  <c r="D19" i="1" a="1"/>
  <c r="D19" i="1" s="1"/>
  <c r="G20" i="1" a="1"/>
  <c r="G20" i="1" s="1"/>
  <c r="G22" i="1" s="1"/>
  <c r="G23" i="1" s="1"/>
  <c r="H20" i="1" a="1"/>
  <c r="H20" i="1" s="1"/>
  <c r="H22" i="1" s="1"/>
  <c r="H23" i="1" s="1"/>
  <c r="I20" i="1" a="1"/>
  <c r="I20" i="1" s="1"/>
  <c r="J20" i="1" a="1"/>
  <c r="J20" i="1" s="1"/>
  <c r="J22" i="1" s="1"/>
  <c r="J23" i="1" s="1"/>
  <c r="F20" i="1" a="1"/>
  <c r="F20" i="1" s="1"/>
  <c r="F22" i="1" s="1"/>
  <c r="F23" i="1" s="1"/>
  <c r="J19" i="1" a="1"/>
  <c r="J19" i="1" s="1"/>
  <c r="E19" i="1" a="1"/>
  <c r="E19" i="1" s="1"/>
  <c r="H19" i="1" a="1"/>
  <c r="H19" i="1" s="1"/>
  <c r="F19" i="1" a="1"/>
  <c r="F19" i="1" s="1"/>
  <c r="K19" i="1" a="1"/>
  <c r="K19" i="1" s="1"/>
  <c r="E20" i="1" a="1"/>
  <c r="E20" i="1" s="1"/>
  <c r="E22" i="1" s="1"/>
  <c r="E23" i="1" s="1"/>
  <c r="G14" i="1"/>
  <c r="M21" i="1"/>
  <c r="L10" i="1"/>
  <c r="M12" i="1"/>
  <c r="H13" i="1"/>
  <c r="H14" i="1"/>
  <c r="I13" i="1"/>
  <c r="I14" i="1"/>
  <c r="J13" i="1"/>
  <c r="J14" i="1"/>
  <c r="I22" i="1"/>
  <c r="I23" i="1" s="1"/>
  <c r="G19" i="1" a="1"/>
  <c r="G19" i="1" s="1"/>
  <c r="F13" i="1"/>
  <c r="G13" i="1"/>
  <c r="K20" i="1" a="1"/>
  <c r="K20" i="1" s="1"/>
  <c r="K22" i="1" s="1"/>
  <c r="K23" i="1" s="1"/>
  <c r="K13" i="1"/>
  <c r="D14" i="1"/>
  <c r="E14" i="1"/>
  <c r="C20" i="1" a="1"/>
  <c r="C20" i="1" s="1"/>
  <c r="C22" i="1" s="1"/>
  <c r="C23" i="1" s="1"/>
  <c r="F14" i="1"/>
  <c r="D20" i="1" a="1"/>
  <c r="D20" i="1" s="1"/>
  <c r="D22" i="1" s="1"/>
  <c r="D23" i="1" s="1"/>
  <c r="J24" i="1" l="1"/>
  <c r="L23" i="1"/>
  <c r="E24" i="1"/>
  <c r="K24" i="1"/>
  <c r="G24" i="1"/>
  <c r="H24" i="1"/>
  <c r="I24" i="1"/>
  <c r="F24" i="1"/>
  <c r="L19" i="1"/>
  <c r="D24" i="1"/>
  <c r="C24" i="1"/>
  <c r="M23" i="1"/>
  <c r="H5" i="1"/>
  <c r="C15" i="1"/>
  <c r="J15" i="1"/>
  <c r="I15" i="1"/>
  <c r="H15" i="1"/>
  <c r="D15" i="1"/>
  <c r="G15" i="1"/>
  <c r="K15" i="1"/>
  <c r="F15" i="1"/>
  <c r="E3" i="1" s="1"/>
  <c r="E15" i="1"/>
  <c r="L14" i="1"/>
  <c r="M14" i="1"/>
  <c r="H3" i="1"/>
  <c r="H4" i="1" l="1"/>
  <c r="F5" i="1"/>
  <c r="E5" i="1"/>
  <c r="E4" i="1" s="1"/>
  <c r="G3" i="1"/>
  <c r="D3" i="1"/>
  <c r="F3" i="1"/>
  <c r="H6" i="1"/>
  <c r="G5" i="1"/>
  <c r="D5" i="1"/>
  <c r="D6" i="1" l="1"/>
  <c r="F4" i="1"/>
  <c r="E6" i="1"/>
  <c r="G6" i="1"/>
  <c r="D4" i="1"/>
  <c r="G4" i="1"/>
  <c r="F6" i="1"/>
  <c r="L3" i="1" l="1"/>
  <c r="J3" i="1"/>
</calcChain>
</file>

<file path=xl/sharedStrings.xml><?xml version="1.0" encoding="utf-8"?>
<sst xmlns="http://schemas.openxmlformats.org/spreadsheetml/2006/main" count="119" uniqueCount="53">
  <si>
    <t>Fill in the course, your name, tees, front/back and gross scores in the grey boxes</t>
  </si>
  <si>
    <t>Points</t>
  </si>
  <si>
    <t>Highland Creek</t>
  </si>
  <si>
    <t>First 3</t>
  </si>
  <si>
    <t>Middle 3</t>
  </si>
  <si>
    <t>Final 3</t>
  </si>
  <si>
    <t>Overall</t>
  </si>
  <si>
    <t>Net Score</t>
  </si>
  <si>
    <t>Holes Won</t>
  </si>
  <si>
    <t>PTS</t>
  </si>
  <si>
    <t>Skybrook</t>
  </si>
  <si>
    <t>Warrior Golf Club</t>
  </si>
  <si>
    <t>Emerald Lake</t>
  </si>
  <si>
    <t>Charlotte Hayes</t>
  </si>
  <si>
    <t>Handicap:</t>
  </si>
  <si>
    <t>Tees:</t>
  </si>
  <si>
    <t>Blue</t>
  </si>
  <si>
    <t>Holes:</t>
  </si>
  <si>
    <t>Back 9</t>
  </si>
  <si>
    <t>#</t>
  </si>
  <si>
    <t>Name</t>
  </si>
  <si>
    <t>Handicap</t>
  </si>
  <si>
    <t>HC's by Tees</t>
  </si>
  <si>
    <t>Front 9</t>
  </si>
  <si>
    <t>HOLE</t>
  </si>
  <si>
    <t>Brian Wojcio</t>
  </si>
  <si>
    <t>Black</t>
  </si>
  <si>
    <t>PAR</t>
  </si>
  <si>
    <t>Ethan High</t>
  </si>
  <si>
    <t>Green</t>
  </si>
  <si>
    <t>White</t>
  </si>
  <si>
    <t>HC</t>
  </si>
  <si>
    <t>Rob Bass</t>
  </si>
  <si>
    <t>Red</t>
  </si>
  <si>
    <t>GROSS</t>
  </si>
  <si>
    <t>Carson Bass</t>
  </si>
  <si>
    <t>Par</t>
  </si>
  <si>
    <t>Strokes</t>
  </si>
  <si>
    <t>Michael McHugh</t>
  </si>
  <si>
    <t>NET</t>
  </si>
  <si>
    <t>Bruce Atkins</t>
  </si>
  <si>
    <t>Wins Hole</t>
  </si>
  <si>
    <t>Alex Palmer</t>
  </si>
  <si>
    <t>Curtis Lynn</t>
  </si>
  <si>
    <t>Jerome Martin</t>
  </si>
  <si>
    <t>Preston Stoner</t>
  </si>
  <si>
    <t>David Maddox</t>
  </si>
  <si>
    <t>Kaylan Adams</t>
  </si>
  <si>
    <t>Megan Serian</t>
  </si>
  <si>
    <t>Nick Coglianese</t>
  </si>
  <si>
    <t>Highland_Creek</t>
  </si>
  <si>
    <t>Warrior_Golf_Club</t>
  </si>
  <si>
    <t>Emerald_Lake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</si>
</sst>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;\-0;0"/>
  </numFmts>
  <fonts count="9" x14ac:knownFonts="1">
    <font>
      <sz val="10"/>
      <name val="Arial"/>
      <family val="2"/>
    </font>
    <font>
      <sz val="10"/>
      <color theme="1"/>
      <name val="Aptos"/>
      <family val="2"/>
    </font>
    <font>
      <i/>
      <sz val="10"/>
      <color rgb="FFFF0000"/>
      <name val="Aptos"/>
      <family val="2"/>
    </font>
    <font>
      <sz val="10"/>
      <name val="Arial"/>
      <family val="2"/>
    </font>
    <font>
      <b/>
      <sz val="10"/>
      <color theme="1"/>
      <name val="Aptos"/>
      <family val="2"/>
    </font>
    <font>
      <b/>
      <sz val="12"/>
      <color theme="1"/>
      <name val="Aptos"/>
      <family val="2"/>
    </font>
    <font>
      <b/>
      <sz val="18"/>
      <color theme="1"/>
      <name val="Aptos"/>
      <family val="2"/>
    </font>
    <font>
      <b/>
      <sz val="11"/>
      <color theme="1"/>
      <name val="Aptos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2" borderId="0" xfId="1" applyFill="1" applyAlignment="1">
      <alignment vertical="center"/>
    </xf>
    <xf numFmtId="0" fontId="4" fillId="0" borderId="2" xfId="1" applyFont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5" xfId="1" applyBorder="1" applyAlignment="1">
      <alignment horizontal="right" vertical="center"/>
    </xf>
    <xf numFmtId="0" fontId="1" fillId="0" borderId="6" xfId="1" applyBorder="1" applyAlignment="1">
      <alignment horizontal="center" vertical="center"/>
    </xf>
    <xf numFmtId="0" fontId="1" fillId="0" borderId="8" xfId="1" applyBorder="1" applyAlignment="1">
      <alignment horizontal="right" vertical="center"/>
    </xf>
    <xf numFmtId="0" fontId="4" fillId="0" borderId="9" xfId="1" applyFont="1" applyBorder="1" applyAlignment="1">
      <alignment horizontal="center" vertical="center"/>
    </xf>
    <xf numFmtId="0" fontId="1" fillId="0" borderId="10" xfId="1" applyBorder="1" applyAlignment="1">
      <alignment horizontal="right" vertical="center"/>
    </xf>
    <xf numFmtId="0" fontId="1" fillId="0" borderId="1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2" borderId="0" xfId="1" applyFont="1" applyFill="1" applyAlignment="1" applyProtection="1">
      <alignment horizontal="center" vertical="center"/>
      <protection locked="0"/>
    </xf>
    <xf numFmtId="0" fontId="1" fillId="0" borderId="0" xfId="1" applyAlignment="1">
      <alignment horizontal="right" vertical="center"/>
    </xf>
    <xf numFmtId="0" fontId="1" fillId="2" borderId="0" xfId="1" applyFill="1" applyAlignment="1">
      <alignment horizontal="center" vertical="center"/>
    </xf>
    <xf numFmtId="0" fontId="1" fillId="2" borderId="0" xfId="1" applyFill="1" applyAlignment="1" applyProtection="1">
      <alignment horizontal="center" vertical="center"/>
      <protection locked="0"/>
    </xf>
    <xf numFmtId="0" fontId="4" fillId="0" borderId="0" xfId="1" applyFont="1" applyAlignment="1">
      <alignment horizontal="center"/>
    </xf>
    <xf numFmtId="0" fontId="7" fillId="0" borderId="6" xfId="1" applyFont="1" applyBorder="1" applyAlignment="1">
      <alignment horizontal="left" vertical="center"/>
    </xf>
    <xf numFmtId="0" fontId="7" fillId="0" borderId="5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1" fillId="0" borderId="15" xfId="1" applyBorder="1" applyAlignment="1">
      <alignment horizontal="center"/>
    </xf>
    <xf numFmtId="0" fontId="3" fillId="0" borderId="15" xfId="1" applyFont="1" applyBorder="1" applyAlignment="1">
      <alignment vertical="center"/>
    </xf>
    <xf numFmtId="164" fontId="3" fillId="0" borderId="15" xfId="1" applyNumberFormat="1" applyFont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1" fillId="0" borderId="11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7" fillId="0" borderId="12" xfId="1" applyFont="1" applyBorder="1" applyAlignment="1">
      <alignment vertical="center"/>
    </xf>
    <xf numFmtId="0" fontId="7" fillId="2" borderId="10" xfId="1" applyFont="1" applyFill="1" applyBorder="1" applyAlignment="1" applyProtection="1">
      <alignment horizontal="center" vertical="center"/>
      <protection locked="0"/>
    </xf>
    <xf numFmtId="0" fontId="7" fillId="2" borderId="0" xfId="1" applyFont="1" applyFill="1" applyAlignment="1" applyProtection="1">
      <alignment horizontal="center" vertical="center"/>
      <protection locked="0"/>
    </xf>
    <xf numFmtId="0" fontId="7" fillId="2" borderId="11" xfId="1" applyFont="1" applyFill="1" applyBorder="1" applyAlignment="1" applyProtection="1">
      <alignment horizontal="center" vertical="center"/>
      <protection locked="0"/>
    </xf>
    <xf numFmtId="165" fontId="1" fillId="0" borderId="0" xfId="1" applyNumberFormat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4" fillId="0" borderId="9" xfId="1" applyFont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5" fillId="3" borderId="3" xfId="1" applyFont="1" applyFill="1" applyBorder="1" applyAlignment="1">
      <alignment horizontal="center" vertical="center" wrapText="1"/>
    </xf>
    <xf numFmtId="0" fontId="0" fillId="0" borderId="3" xfId="0" applyBorder="1"/>
    <xf numFmtId="0" fontId="6" fillId="3" borderId="2" xfId="1" applyFont="1" applyFill="1" applyBorder="1" applyAlignment="1">
      <alignment horizontal="center" vertical="center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13" xfId="0" applyBorder="1"/>
    <xf numFmtId="0" fontId="5" fillId="3" borderId="2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/>
    <xf numFmtId="0" fontId="6" fillId="3" borderId="3" xfId="1" applyFont="1" applyFill="1" applyBorder="1" applyAlignment="1">
      <alignment horizontal="center" vertical="center"/>
    </xf>
    <xf numFmtId="0" fontId="1" fillId="0" borderId="10" xfId="1" applyBorder="1" applyAlignment="1">
      <alignment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vertical="center"/>
    </xf>
    <xf numFmtId="0" fontId="1" fillId="0" borderId="13" xfId="1" applyBorder="1" applyAlignment="1">
      <alignment horizontal="center"/>
    </xf>
    <xf numFmtId="0" fontId="0" fillId="0" borderId="0" xfId="0" applyBorder="1"/>
    <xf numFmtId="0" fontId="1" fillId="0" borderId="11" xfId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4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8" fillId="0" borderId="14" xfId="0" applyFont="1" applyBorder="1"/>
    <xf numFmtId="0" fontId="8" fillId="0" borderId="7" xfId="0" applyFont="1" applyBorder="1"/>
    <xf numFmtId="0" fontId="4" fillId="0" borderId="14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</cellXfs>
  <cellStyles count="2">
    <cellStyle name="Normal" xfId="0" builtinId="0"/>
    <cellStyle name="Normal 3 2" xfId="1" xr:uid="{00000000-0005-0000-0000-000001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s 2024"/>
      <sheetName val="Sep 2 - 13th"/>
      <sheetName val="July 22 - Aug 2nd"/>
      <sheetName val="Aug 5 - 16th"/>
      <sheetName val="Aug 19 - 30th"/>
      <sheetName val="Schedule"/>
      <sheetName val="Course Info"/>
      <sheetName val="Scores 2026"/>
      <sheetName val="Calculator (old)"/>
      <sheetName val="Calculator"/>
      <sheetName val="Helper"/>
      <sheetName val="Sep 16 - 27th"/>
      <sheetName val="Sep 30 - Oct 11"/>
      <sheetName val="Oct 14 - 25th"/>
    </sheetNames>
    <sheetDataSet>
      <sheetData sheetId="0"/>
      <sheetData sheetId="1"/>
      <sheetData sheetId="2"/>
      <sheetData sheetId="3"/>
      <sheetData sheetId="4"/>
      <sheetData sheetId="5">
        <row r="15">
          <cell r="D15">
            <v>12</v>
          </cell>
        </row>
        <row r="16">
          <cell r="D16">
            <v>12</v>
          </cell>
        </row>
        <row r="17">
          <cell r="D17">
            <v>15</v>
          </cell>
        </row>
        <row r="18">
          <cell r="D18">
            <v>24</v>
          </cell>
        </row>
        <row r="19">
          <cell r="D19">
            <v>25</v>
          </cell>
        </row>
        <row r="20">
          <cell r="D20">
            <v>24</v>
          </cell>
        </row>
        <row r="21">
          <cell r="D21">
            <v>30</v>
          </cell>
        </row>
        <row r="22">
          <cell r="D22">
            <v>28</v>
          </cell>
        </row>
        <row r="23">
          <cell r="D23">
            <v>28</v>
          </cell>
        </row>
        <row r="24">
          <cell r="D24">
            <v>20</v>
          </cell>
        </row>
        <row r="25">
          <cell r="D25">
            <v>36</v>
          </cell>
        </row>
        <row r="26">
          <cell r="D26">
            <v>36</v>
          </cell>
        </row>
        <row r="27">
          <cell r="D27">
            <v>36</v>
          </cell>
        </row>
        <row r="28">
          <cell r="D28">
            <v>36</v>
          </cell>
        </row>
        <row r="29">
          <cell r="D29">
            <v>36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U24"/>
  <sheetViews>
    <sheetView tabSelected="1" zoomScaleNormal="100" workbookViewId="0">
      <selection activeCell="L38" sqref="L38"/>
    </sheetView>
  </sheetViews>
  <sheetFormatPr defaultColWidth="4" defaultRowHeight="13.5" x14ac:dyDescent="0.2"/>
  <cols>
    <col min="1" max="1" width="2.5703125" style="2" customWidth="1"/>
    <col min="2" max="2" width="20.7109375" style="2" customWidth="1"/>
    <col min="3" max="8" width="9.85546875" style="2" customWidth="1"/>
    <col min="9" max="9" width="10.7109375" style="2" bestFit="1" customWidth="1"/>
    <col min="10" max="11" width="10.5703125" style="2" customWidth="1"/>
    <col min="12" max="13" width="10.85546875" style="2" customWidth="1"/>
    <col min="14" max="14" width="5.7109375" style="2" customWidth="1"/>
    <col min="15" max="15" width="11" style="2" bestFit="1" customWidth="1"/>
    <col min="16" max="16" width="16.5703125" style="2" bestFit="1" customWidth="1"/>
    <col min="17" max="17" width="8.85546875" style="2" bestFit="1" customWidth="1"/>
    <col min="18" max="19" width="4.5703125" style="2" customWidth="1"/>
    <col min="20" max="20" width="11" style="2" bestFit="1" customWidth="1"/>
    <col min="21" max="29" width="4" style="2" customWidth="1"/>
    <col min="30" max="30" width="10.42578125" style="2" bestFit="1" customWidth="1"/>
    <col min="31" max="39" width="4" style="2" customWidth="1"/>
    <col min="40" max="40" width="11" style="2" bestFit="1" customWidth="1"/>
    <col min="41" max="49" width="4" style="2" customWidth="1"/>
    <col min="50" max="50" width="10.42578125" style="2" bestFit="1" customWidth="1"/>
    <col min="51" max="59" width="4" style="2" customWidth="1"/>
    <col min="60" max="60" width="11.28515625" style="2" bestFit="1" customWidth="1"/>
    <col min="61" max="61" width="4" style="2" customWidth="1"/>
    <col min="62" max="69" width="4" customWidth="1"/>
    <col min="70" max="70" width="5.7109375" style="2" bestFit="1" customWidth="1"/>
    <col min="71" max="71" width="4" style="2" customWidth="1"/>
    <col min="72" max="79" width="4" customWidth="1"/>
    <col min="80" max="80" width="11.28515625" style="2" bestFit="1" customWidth="1"/>
    <col min="81" max="81" width="4" style="2" customWidth="1"/>
    <col min="82" max="89" width="4" customWidth="1"/>
    <col min="90" max="90" width="11.28515625" customWidth="1"/>
    <col min="91" max="99" width="4" customWidth="1"/>
    <col min="100" max="16384" width="4" style="2"/>
  </cols>
  <sheetData>
    <row r="1" spans="2:99" ht="14.25" customHeight="1" thickBot="1" x14ac:dyDescent="0.25">
      <c r="B1" s="1" t="s">
        <v>0</v>
      </c>
      <c r="J1" s="49" t="s">
        <v>1</v>
      </c>
      <c r="K1" s="50"/>
      <c r="L1" s="50"/>
      <c r="M1" s="50"/>
    </row>
    <row r="2" spans="2:99" ht="24.95" customHeight="1" thickBot="1" x14ac:dyDescent="0.25">
      <c r="B2" s="3" t="s">
        <v>12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/>
      <c r="J2" s="47" t="str">
        <f>B8</f>
        <v>Curtis Lynn</v>
      </c>
      <c r="K2" s="40"/>
      <c r="L2" s="39" t="str">
        <f>B17</f>
        <v>Alex Palmer</v>
      </c>
      <c r="M2" s="40"/>
    </row>
    <row r="3" spans="2:99" ht="14.25" customHeight="1" thickBot="1" x14ac:dyDescent="0.25">
      <c r="B3" s="48" t="str">
        <f>J2</f>
        <v>Curtis Lynn</v>
      </c>
      <c r="C3" s="6" t="s">
        <v>8</v>
      </c>
      <c r="D3" s="7">
        <f>SUM(C15:E15)</f>
        <v>1</v>
      </c>
      <c r="E3" s="7">
        <f>SUM(F15:H15)</f>
        <v>3</v>
      </c>
      <c r="F3" s="7">
        <f>SUM(I15:K15)</f>
        <v>3</v>
      </c>
      <c r="G3" s="7">
        <f>SUM(C15:K15)</f>
        <v>7</v>
      </c>
      <c r="H3" s="7">
        <f>SUM(C14:K14)</f>
        <v>33</v>
      </c>
      <c r="J3" s="41">
        <f>SUM(D4:H4)</f>
        <v>7</v>
      </c>
      <c r="K3" s="42"/>
      <c r="L3" s="51">
        <f>SUM(D6:H6)</f>
        <v>1</v>
      </c>
      <c r="M3" s="42"/>
    </row>
    <row r="4" spans="2:99" ht="14.25" customHeight="1" thickBot="1" x14ac:dyDescent="0.25">
      <c r="B4" s="45"/>
      <c r="C4" s="8" t="s">
        <v>9</v>
      </c>
      <c r="D4" s="9">
        <f>IF(D3&gt;D5,2,IF(D3=D5,1,0))</f>
        <v>1</v>
      </c>
      <c r="E4" s="9">
        <f>IF(E3&gt;E5,2,IF(E3=E5,1,0))</f>
        <v>2</v>
      </c>
      <c r="F4" s="9">
        <f>IF(F3&gt;F5,2,IF(F3=F5,1,0))</f>
        <v>2</v>
      </c>
      <c r="G4" s="9">
        <f>IF(G3&gt;G5,1,IF(G3=G5,0.5,0))</f>
        <v>1</v>
      </c>
      <c r="H4" s="9">
        <f>IF(H3&lt;H5,1,IF(H3=H5,0.5,0))</f>
        <v>1</v>
      </c>
      <c r="J4" s="43"/>
      <c r="K4" s="44"/>
      <c r="L4" s="38"/>
      <c r="M4" s="44"/>
    </row>
    <row r="5" spans="2:99" ht="14.25" customHeight="1" thickBot="1" x14ac:dyDescent="0.25">
      <c r="B5" s="48" t="str">
        <f>L2</f>
        <v>Alex Palmer</v>
      </c>
      <c r="C5" s="10" t="s">
        <v>8</v>
      </c>
      <c r="D5" s="11">
        <f>SUM(C24:E24)</f>
        <v>1</v>
      </c>
      <c r="E5" s="11">
        <f>SUM(F24:H24)</f>
        <v>0</v>
      </c>
      <c r="F5" s="11">
        <f>SUM(I24:K24)</f>
        <v>0</v>
      </c>
      <c r="G5" s="11">
        <f>SUM(C24:K24)</f>
        <v>1</v>
      </c>
      <c r="H5" s="11">
        <f>SUM(C23:K23)</f>
        <v>48</v>
      </c>
      <c r="J5" s="45"/>
      <c r="K5" s="46"/>
      <c r="L5" s="50"/>
      <c r="M5" s="46"/>
    </row>
    <row r="6" spans="2:99" ht="14.25" customHeight="1" thickBot="1" x14ac:dyDescent="0.25">
      <c r="B6" s="45"/>
      <c r="C6" s="8" t="s">
        <v>9</v>
      </c>
      <c r="D6" s="9">
        <f>IF(D5&gt;D3,2,IF(D5=D3,1,0))</f>
        <v>1</v>
      </c>
      <c r="E6" s="9">
        <f>IF(E5&gt;E3,2,IF(E5=E3,1,0))</f>
        <v>0</v>
      </c>
      <c r="F6" s="9">
        <f>IF(F5&gt;F3,2,IF(F5=F3,1,0))</f>
        <v>0</v>
      </c>
      <c r="G6" s="9">
        <f>IF(G5&gt;G3,1,IF(G5=G3,0.5,0))</f>
        <v>0</v>
      </c>
      <c r="H6" s="9">
        <f>IF(H5&lt;H3,1,IF(H5=H3,0.5,0))</f>
        <v>0</v>
      </c>
      <c r="J6" s="12"/>
      <c r="K6" s="12"/>
      <c r="L6" s="12"/>
      <c r="M6" s="12"/>
    </row>
    <row r="7" spans="2:99" x14ac:dyDescent="0.2">
      <c r="C7" s="12"/>
      <c r="D7" s="12"/>
      <c r="E7" s="12"/>
      <c r="F7" s="12"/>
      <c r="G7" s="12"/>
      <c r="H7" s="12"/>
      <c r="I7" s="12"/>
      <c r="J7" s="12"/>
      <c r="K7" s="12"/>
      <c r="L7" s="12"/>
      <c r="T7" s="64" t="s">
        <v>10</v>
      </c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6"/>
      <c r="AN7" s="64" t="s">
        <v>2</v>
      </c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6"/>
      <c r="BH7" s="64" t="s">
        <v>11</v>
      </c>
      <c r="BI7" s="65"/>
      <c r="BJ7" s="67"/>
      <c r="BK7" s="67"/>
      <c r="BL7" s="67"/>
      <c r="BM7" s="67"/>
      <c r="BN7" s="67"/>
      <c r="BO7" s="67"/>
      <c r="BP7" s="67"/>
      <c r="BQ7" s="67"/>
      <c r="BR7" s="65"/>
      <c r="BS7" s="65"/>
      <c r="BT7" s="67"/>
      <c r="BU7" s="67"/>
      <c r="BV7" s="67"/>
      <c r="BW7" s="67"/>
      <c r="BX7" s="67"/>
      <c r="BY7" s="67"/>
      <c r="BZ7" s="67"/>
      <c r="CA7" s="68"/>
      <c r="CB7" s="64" t="s">
        <v>12</v>
      </c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70"/>
    </row>
    <row r="8" spans="2:99" ht="16.5" customHeight="1" thickBot="1" x14ac:dyDescent="0.3">
      <c r="B8" s="13" t="s">
        <v>43</v>
      </c>
      <c r="C8" s="14" t="s">
        <v>14</v>
      </c>
      <c r="D8" s="12">
        <f>_xlfn.XLOOKUP(B8,$P$9:$P$23,$Q$9:$Q$23)</f>
        <v>28</v>
      </c>
      <c r="E8" s="12"/>
      <c r="F8" s="12" t="s">
        <v>15</v>
      </c>
      <c r="G8" s="15" t="s">
        <v>16</v>
      </c>
      <c r="H8" s="12"/>
      <c r="I8" s="12" t="s">
        <v>17</v>
      </c>
      <c r="J8" s="16" t="s">
        <v>23</v>
      </c>
      <c r="K8" s="12"/>
      <c r="L8" s="12"/>
      <c r="O8" s="17" t="s">
        <v>19</v>
      </c>
      <c r="P8" s="17" t="s">
        <v>20</v>
      </c>
      <c r="Q8" s="17" t="s">
        <v>21</v>
      </c>
      <c r="T8" s="52" t="s">
        <v>22</v>
      </c>
      <c r="U8" s="53" t="s">
        <v>23</v>
      </c>
      <c r="V8" s="54"/>
      <c r="W8" s="54"/>
      <c r="X8" s="54"/>
      <c r="Y8" s="54"/>
      <c r="Z8" s="54"/>
      <c r="AA8" s="54"/>
      <c r="AB8" s="54"/>
      <c r="AC8" s="54"/>
      <c r="AD8" s="53" t="s">
        <v>18</v>
      </c>
      <c r="AE8" s="54"/>
      <c r="AF8" s="54"/>
      <c r="AG8" s="54"/>
      <c r="AH8" s="54"/>
      <c r="AI8" s="54"/>
      <c r="AJ8" s="54"/>
      <c r="AK8" s="54"/>
      <c r="AL8" s="54"/>
      <c r="AM8" s="55"/>
      <c r="AN8" s="52" t="s">
        <v>22</v>
      </c>
      <c r="AO8" s="53" t="s">
        <v>23</v>
      </c>
      <c r="AP8" s="54"/>
      <c r="AQ8" s="54"/>
      <c r="AR8" s="54"/>
      <c r="AS8" s="54"/>
      <c r="AT8" s="54"/>
      <c r="AU8" s="54"/>
      <c r="AV8" s="54"/>
      <c r="AW8" s="54"/>
      <c r="AX8" s="53" t="s">
        <v>18</v>
      </c>
      <c r="AY8" s="54"/>
      <c r="AZ8" s="54"/>
      <c r="BA8" s="54"/>
      <c r="BB8" s="54"/>
      <c r="BC8" s="54"/>
      <c r="BD8" s="54"/>
      <c r="BE8" s="54"/>
      <c r="BF8" s="54"/>
      <c r="BG8" s="55"/>
      <c r="BH8" s="52" t="s">
        <v>22</v>
      </c>
      <c r="BI8" s="53" t="s">
        <v>23</v>
      </c>
      <c r="BJ8" s="62"/>
      <c r="BK8" s="62"/>
      <c r="BL8" s="62"/>
      <c r="BM8" s="62"/>
      <c r="BN8" s="62"/>
      <c r="BO8" s="62"/>
      <c r="BP8" s="62"/>
      <c r="BQ8" s="62"/>
      <c r="BR8" s="53" t="s">
        <v>18</v>
      </c>
      <c r="BS8" s="54"/>
      <c r="BT8" s="62"/>
      <c r="BU8" s="62"/>
      <c r="BV8" s="62"/>
      <c r="BW8" s="62"/>
      <c r="BX8" s="62"/>
      <c r="BY8" s="62"/>
      <c r="BZ8" s="62"/>
      <c r="CA8" s="44"/>
      <c r="CB8" s="52" t="s">
        <v>22</v>
      </c>
      <c r="CC8" s="53" t="s">
        <v>23</v>
      </c>
      <c r="CD8" s="53"/>
      <c r="CE8" s="53"/>
      <c r="CF8" s="53"/>
      <c r="CG8" s="53"/>
      <c r="CH8" s="53"/>
      <c r="CI8" s="53"/>
      <c r="CJ8" s="53"/>
      <c r="CK8" s="53"/>
      <c r="CL8" s="53" t="s">
        <v>18</v>
      </c>
      <c r="CM8" s="53"/>
      <c r="CN8" s="53"/>
      <c r="CO8" s="53"/>
      <c r="CP8" s="53"/>
      <c r="CQ8" s="53"/>
      <c r="CR8" s="53"/>
      <c r="CS8" s="53"/>
      <c r="CT8" s="53"/>
      <c r="CU8" s="63"/>
    </row>
    <row r="9" spans="2:99" ht="15" customHeight="1" x14ac:dyDescent="0.25">
      <c r="B9" s="18" t="s">
        <v>24</v>
      </c>
      <c r="C9" s="19">
        <v>1</v>
      </c>
      <c r="D9" s="20">
        <v>2</v>
      </c>
      <c r="E9" s="21">
        <v>3</v>
      </c>
      <c r="F9" s="19">
        <v>4</v>
      </c>
      <c r="G9" s="20">
        <v>5</v>
      </c>
      <c r="H9" s="21">
        <v>6</v>
      </c>
      <c r="I9" s="19">
        <v>7</v>
      </c>
      <c r="J9" s="20">
        <v>8</v>
      </c>
      <c r="K9" s="21">
        <v>9</v>
      </c>
      <c r="L9" s="12"/>
      <c r="O9" s="22">
        <v>1</v>
      </c>
      <c r="P9" s="23" t="s">
        <v>25</v>
      </c>
      <c r="Q9" s="24">
        <f>[1]Schedule!D15</f>
        <v>12</v>
      </c>
      <c r="T9" s="52" t="s">
        <v>16</v>
      </c>
      <c r="U9" s="56">
        <v>7</v>
      </c>
      <c r="V9" s="56">
        <v>15</v>
      </c>
      <c r="W9" s="56">
        <v>5</v>
      </c>
      <c r="X9" s="56">
        <v>13</v>
      </c>
      <c r="Y9" s="56">
        <v>3</v>
      </c>
      <c r="Z9" s="56">
        <v>11</v>
      </c>
      <c r="AA9" s="56">
        <v>17</v>
      </c>
      <c r="AB9" s="56">
        <v>9</v>
      </c>
      <c r="AC9" s="56">
        <v>1</v>
      </c>
      <c r="AD9" s="57" t="s">
        <v>16</v>
      </c>
      <c r="AE9" s="56">
        <v>4</v>
      </c>
      <c r="AF9" s="56">
        <v>12</v>
      </c>
      <c r="AG9" s="56">
        <v>14</v>
      </c>
      <c r="AH9" s="56">
        <v>6</v>
      </c>
      <c r="AI9" s="56">
        <v>16</v>
      </c>
      <c r="AJ9" s="56">
        <v>8</v>
      </c>
      <c r="AK9" s="56">
        <v>18</v>
      </c>
      <c r="AL9" s="56">
        <v>2</v>
      </c>
      <c r="AM9" s="26">
        <v>10</v>
      </c>
      <c r="AN9" s="52" t="s">
        <v>16</v>
      </c>
      <c r="AO9" s="56">
        <v>7</v>
      </c>
      <c r="AP9" s="56">
        <v>17</v>
      </c>
      <c r="AQ9" s="56">
        <v>15</v>
      </c>
      <c r="AR9" s="56">
        <v>1</v>
      </c>
      <c r="AS9" s="56">
        <v>11</v>
      </c>
      <c r="AT9" s="56">
        <v>9</v>
      </c>
      <c r="AU9" s="56">
        <v>13</v>
      </c>
      <c r="AV9" s="56">
        <v>5</v>
      </c>
      <c r="AW9" s="56">
        <v>3</v>
      </c>
      <c r="AX9" s="57" t="s">
        <v>16</v>
      </c>
      <c r="AY9" s="56">
        <v>14</v>
      </c>
      <c r="AZ9" s="56">
        <v>8</v>
      </c>
      <c r="BA9" s="56">
        <v>6</v>
      </c>
      <c r="BB9" s="56">
        <v>4</v>
      </c>
      <c r="BC9" s="56">
        <v>16</v>
      </c>
      <c r="BD9" s="56">
        <v>2</v>
      </c>
      <c r="BE9" s="56">
        <v>10</v>
      </c>
      <c r="BF9" s="56">
        <v>12</v>
      </c>
      <c r="BG9" s="26">
        <v>18</v>
      </c>
      <c r="BH9" s="52" t="s">
        <v>26</v>
      </c>
      <c r="BI9" s="56">
        <v>7</v>
      </c>
      <c r="BJ9" s="56">
        <v>3</v>
      </c>
      <c r="BK9" s="56">
        <v>13</v>
      </c>
      <c r="BL9" s="56">
        <v>9</v>
      </c>
      <c r="BM9" s="56">
        <v>11</v>
      </c>
      <c r="BN9" s="56">
        <v>15</v>
      </c>
      <c r="BO9" s="56">
        <v>1</v>
      </c>
      <c r="BP9" s="56">
        <v>5</v>
      </c>
      <c r="BQ9" s="56">
        <v>17</v>
      </c>
      <c r="BR9" s="57" t="s">
        <v>26</v>
      </c>
      <c r="BS9" s="56">
        <v>2</v>
      </c>
      <c r="BT9" s="56">
        <v>6</v>
      </c>
      <c r="BU9" s="56">
        <v>12</v>
      </c>
      <c r="BV9" s="56">
        <v>14</v>
      </c>
      <c r="BW9" s="56">
        <v>16</v>
      </c>
      <c r="BX9" s="56">
        <v>18</v>
      </c>
      <c r="BY9" s="56">
        <v>8</v>
      </c>
      <c r="BZ9" s="56">
        <v>4</v>
      </c>
      <c r="CA9" s="26">
        <v>10</v>
      </c>
      <c r="CB9" s="52" t="s">
        <v>16</v>
      </c>
      <c r="CC9" s="56">
        <v>17</v>
      </c>
      <c r="CD9" s="56">
        <v>3</v>
      </c>
      <c r="CE9" s="56">
        <v>11</v>
      </c>
      <c r="CF9" s="56">
        <v>13</v>
      </c>
      <c r="CG9" s="56">
        <v>7</v>
      </c>
      <c r="CH9" s="56">
        <v>15</v>
      </c>
      <c r="CI9" s="56">
        <v>9</v>
      </c>
      <c r="CJ9" s="56">
        <v>5</v>
      </c>
      <c r="CK9" s="56">
        <v>1</v>
      </c>
      <c r="CL9" s="57" t="s">
        <v>16</v>
      </c>
      <c r="CM9" s="56">
        <v>16</v>
      </c>
      <c r="CN9" s="56">
        <v>18</v>
      </c>
      <c r="CO9" s="56">
        <v>2</v>
      </c>
      <c r="CP9" s="56">
        <v>14</v>
      </c>
      <c r="CQ9" s="56">
        <v>12</v>
      </c>
      <c r="CR9" s="56">
        <v>8</v>
      </c>
      <c r="CS9" s="56">
        <v>4</v>
      </c>
      <c r="CT9" s="56">
        <v>6</v>
      </c>
      <c r="CU9" s="26">
        <v>10</v>
      </c>
    </row>
    <row r="10" spans="2:99" x14ac:dyDescent="0.25">
      <c r="B10" s="25" t="s">
        <v>27</v>
      </c>
      <c r="C10" s="12">
        <f t="array" ref="C10">_xlfn.IFS($B$2="Skybrook",_xlfn.IFS($J8="Back 9",INDEX($AE$12:$AM$12,1,C9),$J8="Front 9",INDEX($U$12:$AC$12,1,C9)),$B$2="Highland Creek",_xlfn.IFS($J8="Back 9",INDEX($AY$12:$BG$12,1,C9),$J8="Front 9",INDEX($AO$12:$AW$12,1,C9)),$B$2="Warrior Golf Club",_xlfn.IFS($J8="Back 9",INDEX($BS$12:$CA$12,1,C9),$J8="Front 9",INDEX($BI$12:$BQ$12,1,C9)),$B$2="Emerald Lake",_xlfn.IFS($J8="Back 9",INDEX($CM$12:$CU$12,1,C9),$J8="Front 9",INDEX($CC$12:$CK$12,1,C9)))</f>
        <v>4</v>
      </c>
      <c r="D10" s="12">
        <f t="array" ref="D10">_xlfn.IFS($B$2="Skybrook",_xlfn.IFS($J8="Back 9",INDEX($AE$12:$AM$12,1,D9),$J8="Front 9",INDEX($U$12:$AC$12,1,D9)),$B$2="Highland Creek",_xlfn.IFS($J8="Back 9",INDEX($AY$12:$BG$12,1,D9),$J8="Front 9",INDEX($AO$12:$AW$12,1,D9)),$B$2="Warrior Golf Club",_xlfn.IFS($J8="Back 9",INDEX($BS$12:$CA$12,1,D9),$J8="Front 9",INDEX($BI$12:$BQ$12,1,D9)),$B$2="Emerald Lake",_xlfn.IFS($J8="Back 9",INDEX($CM$12:$CU$12,1,D9),$J8="Front 9",INDEX($CC$12:$CK$12,1,D9)))</f>
        <v>4</v>
      </c>
      <c r="E10" s="26">
        <f t="array" ref="E10">_xlfn.IFS($B$2="Skybrook",_xlfn.IFS($J8="Back 9",INDEX($AE$12:$AM$12,1,E9),$J8="Front 9",INDEX($U$12:$AC$12,1,E9)),$B$2="Highland Creek",_xlfn.IFS($J8="Back 9",INDEX($AY$12:$BG$12,1,E9),$J8="Front 9",INDEX($AO$12:$AW$12,1,E9)),$B$2="Warrior Golf Club",_xlfn.IFS($J8="Back 9",INDEX($BS$12:$CA$12,1,E9),$J8="Front 9",INDEX($BI$12:$BQ$12,1,E9)),$B$2="Emerald Lake",_xlfn.IFS($J8="Back 9",INDEX($CM$12:$CU$12,1,E9),$J8="Front 9",INDEX($CC$12:$CK$12,1,E9)))</f>
        <v>3</v>
      </c>
      <c r="F10" s="27">
        <f t="array" ref="F10">_xlfn.IFS($B$2="Skybrook",_xlfn.IFS($J8="Back 9",INDEX($AE$12:$AM$12,1,F9),$J8="Front 9",INDEX($U$12:$AC$12,1,F9)),$B$2="Highland Creek",_xlfn.IFS($J8="Back 9",INDEX($AY$12:$BG$12,1,F9),$J8="Front 9",INDEX($AO$12:$AW$12,1,F9)),$B$2="Warrior Golf Club",_xlfn.IFS($J8="Back 9",INDEX($BS$12:$CA$12,1,F9),$J8="Front 9",INDEX($BI$12:$BQ$12,1,F9)),$B$2="Emerald Lake",_xlfn.IFS($J8="Back 9",INDEX($CM$12:$CU$12,1,F9),$J8="Front 9",INDEX($CC$12:$CK$12,1,F9)))</f>
        <v>4</v>
      </c>
      <c r="G10" s="12">
        <f t="array" ref="G10">_xlfn.IFS($B$2="Skybrook",_xlfn.IFS($J8="Back 9",INDEX($AE$12:$AM$12,1,G9),$J8="Front 9",INDEX($U$12:$AC$12,1,G9)),$B$2="Highland Creek",_xlfn.IFS($J8="Back 9",INDEX($AY$12:$BG$12,1,G9),$J8="Front 9",INDEX($AO$12:$AW$12,1,G9)),$B$2="Warrior Golf Club",_xlfn.IFS($J8="Back 9",INDEX($BS$12:$CA$12,1,G9),$J8="Front 9",INDEX($BI$12:$BQ$12,1,G9)),$B$2="Emerald Lake",_xlfn.IFS($J8="Back 9",INDEX($CM$12:$CU$12,1,G9),$J8="Front 9",INDEX($CC$12:$CK$12,1,G9)))</f>
        <v>5</v>
      </c>
      <c r="H10" s="26">
        <f t="array" ref="H10">_xlfn.IFS($B$2="Skybrook",_xlfn.IFS($J8="Back 9",INDEX($AE$12:$AM$12,1,H9),$J8="Front 9",INDEX($U$12:$AC$12,1,H9)),$B$2="Highland Creek",_xlfn.IFS($J8="Back 9",INDEX($AY$12:$BG$12,1,H9),$J8="Front 9",INDEX($AO$12:$AW$12,1,H9)),$B$2="Warrior Golf Club",_xlfn.IFS($J8="Back 9",INDEX($BS$12:$CA$12,1,H9),$J8="Front 9",INDEX($BI$12:$BQ$12,1,H9)),$B$2="Emerald Lake",_xlfn.IFS($J8="Back 9",INDEX($CM$12:$CU$12,1,H9),$J8="Front 9",INDEX($CC$12:$CK$12,1,H9)))</f>
        <v>4</v>
      </c>
      <c r="I10" s="27">
        <f t="array" ref="I10">_xlfn.IFS($B$2="Skybrook",_xlfn.IFS($J8="Back 9",INDEX($AE$12:$AM$12,1,I9),$J8="Front 9",INDEX($U$12:$AC$12,1,I9)),$B$2="Highland Creek",_xlfn.IFS($J8="Back 9",INDEX($AY$12:$BG$12,1,I9),$J8="Front 9",INDEX($AO$12:$AW$12,1,I9)),$B$2="Warrior Golf Club",_xlfn.IFS($J8="Back 9",INDEX($BS$12:$CA$12,1,I9),$J8="Front 9",INDEX($BI$12:$BQ$12,1,I9)),$B$2="Emerald Lake",_xlfn.IFS($J8="Back 9",INDEX($CM$12:$CU$12,1,I9),$J8="Front 9",INDEX($CC$12:$CK$12,1,I9)))</f>
        <v>3</v>
      </c>
      <c r="J10" s="12">
        <f t="array" ref="J10">_xlfn.IFS($B$2="Skybrook",_xlfn.IFS($J8="Back 9",INDEX($AE$12:$AM$12,1,J9),$J8="Front 9",INDEX($U$12:$AC$12,1,J9)),$B$2="Highland Creek",_xlfn.IFS($J8="Back 9",INDEX($AY$12:$BG$12,1,J9),$J8="Front 9",INDEX($AO$12:$AW$12,1,J9)),$B$2="Warrior Golf Club",_xlfn.IFS($J8="Back 9",INDEX($BS$12:$CA$12,1,J9),$J8="Front 9",INDEX($BI$12:$BQ$12,1,J9)),$B$2="Emerald Lake",_xlfn.IFS($J8="Back 9",INDEX($CM$12:$CU$12,1,J9),$J8="Front 9",INDEX($CC$12:$CK$12,1,J9)))</f>
        <v>4</v>
      </c>
      <c r="K10" s="26">
        <f t="array" ref="K10">_xlfn.IFS($B$2="Skybrook",_xlfn.IFS($J8="Back 9",INDEX($AE$12:$AM$12,1,K9),$J8="Front 9",INDEX($U$12:$AC$12,1,K9)),$B$2="Highland Creek",_xlfn.IFS($J8="Back 9",INDEX($AY$12:$BG$12,1,K9),$J8="Front 9",INDEX($AO$12:$AW$12,1,K9)),$B$2="Warrior Golf Club",_xlfn.IFS($J8="Back 9",INDEX($BS$12:$CA$12,1,K9),$J8="Front 9",INDEX($BI$12:$BQ$12,1,K9)),$B$2="Emerald Lake",_xlfn.IFS($J8="Back 9",INDEX($CM$12:$CU$12,1,K9),$J8="Front 9",INDEX($CC$12:$CK$12,1,K9)))</f>
        <v>4</v>
      </c>
      <c r="L10" s="12">
        <f>SUM(C10:K10)</f>
        <v>35</v>
      </c>
      <c r="O10" s="22">
        <v>2</v>
      </c>
      <c r="P10" s="23" t="s">
        <v>28</v>
      </c>
      <c r="Q10" s="24">
        <f>[1]Schedule!D16</f>
        <v>12</v>
      </c>
      <c r="T10" s="52" t="s">
        <v>29</v>
      </c>
      <c r="U10" s="56">
        <v>7</v>
      </c>
      <c r="V10" s="56">
        <v>15</v>
      </c>
      <c r="W10" s="56">
        <v>5</v>
      </c>
      <c r="X10" s="56">
        <v>13</v>
      </c>
      <c r="Y10" s="56">
        <v>3</v>
      </c>
      <c r="Z10" s="56">
        <v>11</v>
      </c>
      <c r="AA10" s="56">
        <v>17</v>
      </c>
      <c r="AB10" s="56">
        <v>9</v>
      </c>
      <c r="AC10" s="56">
        <v>1</v>
      </c>
      <c r="AD10" s="57" t="s">
        <v>29</v>
      </c>
      <c r="AE10" s="56">
        <v>4</v>
      </c>
      <c r="AF10" s="56">
        <v>12</v>
      </c>
      <c r="AG10" s="56">
        <v>14</v>
      </c>
      <c r="AH10" s="56">
        <v>6</v>
      </c>
      <c r="AI10" s="56">
        <v>16</v>
      </c>
      <c r="AJ10" s="56">
        <v>8</v>
      </c>
      <c r="AK10" s="56">
        <v>18</v>
      </c>
      <c r="AL10" s="56">
        <v>2</v>
      </c>
      <c r="AM10" s="26">
        <v>10</v>
      </c>
      <c r="AN10" s="52" t="s">
        <v>30</v>
      </c>
      <c r="AO10" s="56">
        <v>7</v>
      </c>
      <c r="AP10" s="56">
        <v>17</v>
      </c>
      <c r="AQ10" s="56">
        <v>15</v>
      </c>
      <c r="AR10" s="56">
        <v>1</v>
      </c>
      <c r="AS10" s="56">
        <v>11</v>
      </c>
      <c r="AT10" s="56">
        <v>9</v>
      </c>
      <c r="AU10" s="56">
        <v>13</v>
      </c>
      <c r="AV10" s="56">
        <v>5</v>
      </c>
      <c r="AW10" s="56">
        <v>3</v>
      </c>
      <c r="AX10" s="57" t="s">
        <v>30</v>
      </c>
      <c r="AY10" s="56">
        <v>14</v>
      </c>
      <c r="AZ10" s="56">
        <v>8</v>
      </c>
      <c r="BA10" s="56">
        <v>6</v>
      </c>
      <c r="BB10" s="56">
        <v>4</v>
      </c>
      <c r="BC10" s="56">
        <v>16</v>
      </c>
      <c r="BD10" s="56">
        <v>2</v>
      </c>
      <c r="BE10" s="56">
        <v>10</v>
      </c>
      <c r="BF10" s="56">
        <v>12</v>
      </c>
      <c r="BG10" s="26">
        <v>18</v>
      </c>
      <c r="BH10" s="52" t="s">
        <v>16</v>
      </c>
      <c r="BI10" s="56">
        <v>7</v>
      </c>
      <c r="BJ10" s="56">
        <v>3</v>
      </c>
      <c r="BK10" s="56">
        <v>13</v>
      </c>
      <c r="BL10" s="56">
        <v>9</v>
      </c>
      <c r="BM10" s="56">
        <v>11</v>
      </c>
      <c r="BN10" s="56">
        <v>15</v>
      </c>
      <c r="BO10" s="56">
        <v>1</v>
      </c>
      <c r="BP10" s="56">
        <v>5</v>
      </c>
      <c r="BQ10" s="56">
        <v>17</v>
      </c>
      <c r="BR10" s="57" t="s">
        <v>16</v>
      </c>
      <c r="BS10" s="56">
        <v>2</v>
      </c>
      <c r="BT10" s="56">
        <v>6</v>
      </c>
      <c r="BU10" s="56">
        <v>12</v>
      </c>
      <c r="BV10" s="56">
        <v>14</v>
      </c>
      <c r="BW10" s="56">
        <v>16</v>
      </c>
      <c r="BX10" s="56">
        <v>18</v>
      </c>
      <c r="BY10" s="56">
        <v>8</v>
      </c>
      <c r="BZ10" s="56">
        <v>4</v>
      </c>
      <c r="CA10" s="26">
        <v>10</v>
      </c>
      <c r="CB10" s="52" t="s">
        <v>30</v>
      </c>
      <c r="CC10" s="56">
        <v>17</v>
      </c>
      <c r="CD10" s="56">
        <v>3</v>
      </c>
      <c r="CE10" s="56">
        <v>11</v>
      </c>
      <c r="CF10" s="56">
        <v>13</v>
      </c>
      <c r="CG10" s="56">
        <v>7</v>
      </c>
      <c r="CH10" s="56">
        <v>15</v>
      </c>
      <c r="CI10" s="56">
        <v>9</v>
      </c>
      <c r="CJ10" s="56">
        <v>5</v>
      </c>
      <c r="CK10" s="56">
        <v>1</v>
      </c>
      <c r="CL10" s="57" t="s">
        <v>30</v>
      </c>
      <c r="CM10" s="56">
        <v>16</v>
      </c>
      <c r="CN10" s="56">
        <v>18</v>
      </c>
      <c r="CO10" s="56">
        <v>2</v>
      </c>
      <c r="CP10" s="56">
        <v>14</v>
      </c>
      <c r="CQ10" s="56">
        <v>12</v>
      </c>
      <c r="CR10" s="56">
        <v>8</v>
      </c>
      <c r="CS10" s="56">
        <v>4</v>
      </c>
      <c r="CT10" s="56">
        <v>6</v>
      </c>
      <c r="CU10" s="26">
        <v>10</v>
      </c>
    </row>
    <row r="11" spans="2:99" x14ac:dyDescent="0.25">
      <c r="B11" s="25" t="s">
        <v>31</v>
      </c>
      <c r="C11" s="12">
        <f t="array" ref="C11">_xlfn.IFS($B$2="Skybrook",_xlfn.IFS($J8="Back 9",VLOOKUP($G8,$AD$9:$AM$11,COLUMN()-1,0),$J8="Front 9",VLOOKUP($G8,$T$9:$AC$11,COLUMN()-1,0)),$B$2="Highland Creek",_xlfn.IFS($J8="Back 9",VLOOKUP($G8,$AX$9:$BG$11,COLUMN()-1,0),$J8="Front 9",VLOOKUP($G8,$AN$9:$AW$11,COLUMN()-1,0)),$B$2="Warrior Golf Club",_xlfn.IFS($J8="Back 9",VLOOKUP($G8,$BR$9:$CA$11,COLUMN()-1,0),$J8="Front 9",VLOOKUP($G8,$BH$9:$BQ$11,COLUMN()-1,0)),$B$2="Emerald Lake",_xlfn.IFS($J8="Back 9",VLOOKUP($G8,$CL$9:$CU$11,COLUMN()-1,0),$J8="Front 9",VLOOKUP($G8,$CB$9:$CK$11,COLUMN()-1,0)))</f>
        <v>17</v>
      </c>
      <c r="D11" s="12">
        <f t="array" ref="D11">_xlfn.IFS($B$2="Skybrook",_xlfn.IFS($J8="Back 9",VLOOKUP($G8,$AD$9:$AM$11,COLUMN()-1,0),$J8="Front 9",VLOOKUP($G8,$T$9:$AC$11,COLUMN()-1,0)),$B$2="Highland Creek",_xlfn.IFS($J8="Back 9",VLOOKUP($G8,$AX$9:$BG$11,COLUMN()-1,0),$J8="Front 9",VLOOKUP($G8,$AN$9:$AW$11,COLUMN()-1,0)),$B$2="Warrior Golf Club",_xlfn.IFS($J8="Back 9",VLOOKUP($G8,$BR$9:$CA$11,COLUMN()-1,0),$J8="Front 9",VLOOKUP($G8,$BH$9:$BQ$11,COLUMN()-1,0)),$B$2="Emerald Lake",_xlfn.IFS($J8="Back 9",VLOOKUP($G8,$CL$9:$CU$11,COLUMN()-1,0),$J8="Front 9",VLOOKUP($G8,$CB$9:$CK$11,COLUMN()-1,0)))</f>
        <v>3</v>
      </c>
      <c r="E11" s="26">
        <f t="array" ref="E11">_xlfn.IFS($B$2="Skybrook",_xlfn.IFS($J8="Back 9",VLOOKUP($G8,$AD$9:$AM$11,COLUMN()-1,0),$J8="Front 9",VLOOKUP($G8,$T$9:$AC$11,COLUMN()-1,0)),$B$2="Highland Creek",_xlfn.IFS($J8="Back 9",VLOOKUP($G8,$AX$9:$BG$11,COLUMN()-1,0),$J8="Front 9",VLOOKUP($G8,$AN$9:$AW$11,COLUMN()-1,0)),$B$2="Warrior Golf Club",_xlfn.IFS($J8="Back 9",VLOOKUP($G8,$BR$9:$CA$11,COLUMN()-1,0),$J8="Front 9",VLOOKUP($G8,$BH$9:$BQ$11,COLUMN()-1,0)),$B$2="Emerald Lake",_xlfn.IFS($J8="Back 9",VLOOKUP($G8,$CL$9:$CU$11,COLUMN()-1,0),$J8="Front 9",VLOOKUP($G8,$CB$9:$CK$11,COLUMN()-1,0)))</f>
        <v>11</v>
      </c>
      <c r="F11" s="27">
        <f t="array" ref="F11">_xlfn.IFS($B$2="Skybrook",_xlfn.IFS($J8="Back 9",VLOOKUP($G8,$AD$9:$AM$11,COLUMN()-1,0),$J8="Front 9",VLOOKUP($G8,$T$9:$AC$11,COLUMN()-1,0)),$B$2="Highland Creek",_xlfn.IFS($J8="Back 9",VLOOKUP($G8,$AX$9:$BG$11,COLUMN()-1,0),$J8="Front 9",VLOOKUP($G8,$AN$9:$AW$11,COLUMN()-1,0)),$B$2="Warrior Golf Club",_xlfn.IFS($J8="Back 9",VLOOKUP($G8,$BR$9:$CA$11,COLUMN()-1,0),$J8="Front 9",VLOOKUP($G8,$BH$9:$BQ$11,COLUMN()-1,0)),$B$2="Emerald Lake",_xlfn.IFS($J8="Back 9",VLOOKUP($G8,$CL$9:$CU$11,COLUMN()-1,0),$J8="Front 9",VLOOKUP($G8,$CB$9:$CK$11,COLUMN()-1,0)))</f>
        <v>13</v>
      </c>
      <c r="G11" s="12">
        <f t="array" ref="G11">_xlfn.IFS($B$2="Skybrook",_xlfn.IFS($J8="Back 9",VLOOKUP($G8,$AD$9:$AM$11,COLUMN()-1,0),$J8="Front 9",VLOOKUP($G8,$T$9:$AC$11,COLUMN()-1,0)),$B$2="Highland Creek",_xlfn.IFS($J8="Back 9",VLOOKUP($G8,$AX$9:$BG$11,COLUMN()-1,0),$J8="Front 9",VLOOKUP($G8,$AN$9:$AW$11,COLUMN()-1,0)),$B$2="Warrior Golf Club",_xlfn.IFS($J8="Back 9",VLOOKUP($G8,$BR$9:$CA$11,COLUMN()-1,0),$J8="Front 9",VLOOKUP($G8,$BH$9:$BQ$11,COLUMN()-1,0)),$B$2="Emerald Lake",_xlfn.IFS($J8="Back 9",VLOOKUP($G8,$CL$9:$CU$11,COLUMN()-1,0),$J8="Front 9",VLOOKUP($G8,$CB$9:$CK$11,COLUMN()-1,0)))</f>
        <v>7</v>
      </c>
      <c r="H11" s="26">
        <f t="array" ref="H11">_xlfn.IFS($B$2="Skybrook",_xlfn.IFS($J8="Back 9",VLOOKUP($G8,$AD$9:$AM$11,COLUMN()-1,0),$J8="Front 9",VLOOKUP($G8,$T$9:$AC$11,COLUMN()-1,0)),$B$2="Highland Creek",_xlfn.IFS($J8="Back 9",VLOOKUP($G8,$AX$9:$BG$11,COLUMN()-1,0),$J8="Front 9",VLOOKUP($G8,$AN$9:$AW$11,COLUMN()-1,0)),$B$2="Warrior Golf Club",_xlfn.IFS($J8="Back 9",VLOOKUP($G8,$BR$9:$CA$11,COLUMN()-1,0),$J8="Front 9",VLOOKUP($G8,$BH$9:$BQ$11,COLUMN()-1,0)),$B$2="Emerald Lake",_xlfn.IFS($J8="Back 9",VLOOKUP($G8,$CL$9:$CU$11,COLUMN()-1,0),$J8="Front 9",VLOOKUP($G8,$CB$9:$CK$11,COLUMN()-1,0)))</f>
        <v>15</v>
      </c>
      <c r="I11" s="27">
        <f t="array" ref="I11">_xlfn.IFS($B$2="Skybrook",_xlfn.IFS($J8="Back 9",VLOOKUP($G8,$AD$9:$AM$11,COLUMN()-1,0),$J8="Front 9",VLOOKUP($G8,$T$9:$AC$11,COLUMN()-1,0)),$B$2="Highland Creek",_xlfn.IFS($J8="Back 9",VLOOKUP($G8,$AX$9:$BG$11,COLUMN()-1,0),$J8="Front 9",VLOOKUP($G8,$AN$9:$AW$11,COLUMN()-1,0)),$B$2="Warrior Golf Club",_xlfn.IFS($J8="Back 9",VLOOKUP($G8,$BR$9:$CA$11,COLUMN()-1,0),$J8="Front 9",VLOOKUP($G8,$BH$9:$BQ$11,COLUMN()-1,0)),$B$2="Emerald Lake",_xlfn.IFS($J8="Back 9",VLOOKUP($G8,$CL$9:$CU$11,COLUMN()-1,0),$J8="Front 9",VLOOKUP($G8,$CB$9:$CK$11,COLUMN()-1,0)))</f>
        <v>9</v>
      </c>
      <c r="J11" s="12">
        <f t="array" ref="J11">_xlfn.IFS($B$2="Skybrook",_xlfn.IFS($J8="Back 9",VLOOKUP($G8,$AD$9:$AM$11,COLUMN()-1,0),$J8="Front 9",VLOOKUP($G8,$T$9:$AC$11,COLUMN()-1,0)),$B$2="Highland Creek",_xlfn.IFS($J8="Back 9",VLOOKUP($G8,$AX$9:$BG$11,COLUMN()-1,0),$J8="Front 9",VLOOKUP($G8,$AN$9:$AW$11,COLUMN()-1,0)),$B$2="Warrior Golf Club",_xlfn.IFS($J8="Back 9",VLOOKUP($G8,$BR$9:$CA$11,COLUMN()-1,0),$J8="Front 9",VLOOKUP($G8,$BH$9:$BQ$11,COLUMN()-1,0)),$B$2="Emerald Lake",_xlfn.IFS($J8="Back 9",VLOOKUP($G8,$CL$9:$CU$11,COLUMN()-1,0),$J8="Front 9",VLOOKUP($G8,$CB$9:$CK$11,COLUMN()-1,0)))</f>
        <v>5</v>
      </c>
      <c r="K11" s="26">
        <f t="array" ref="K11">_xlfn.IFS($B$2="Skybrook",_xlfn.IFS($J8="Back 9",VLOOKUP($G8,$AD$9:$AM$11,COLUMN()-1,0),$J8="Front 9",VLOOKUP($G8,$T$9:$AC$11,COLUMN()-1,0)),$B$2="Highland Creek",_xlfn.IFS($J8="Back 9",VLOOKUP($G8,$AX$9:$BG$11,COLUMN()-1,0),$J8="Front 9",VLOOKUP($G8,$AN$9:$AW$11,COLUMN()-1,0)),$B$2="Warrior Golf Club",_xlfn.IFS($J8="Back 9",VLOOKUP($G8,$BR$9:$CA$11,COLUMN()-1,0),$J8="Front 9",VLOOKUP($G8,$BH$9:$BQ$11,COLUMN()-1,0)),$B$2="Emerald Lake",_xlfn.IFS($J8="Back 9",VLOOKUP($G8,$CL$9:$CU$11,COLUMN()-1,0),$J8="Front 9",VLOOKUP($G8,$CB$9:$CK$11,COLUMN()-1,0)))</f>
        <v>1</v>
      </c>
      <c r="L11" s="12"/>
      <c r="O11" s="22">
        <f>O10+1</f>
        <v>3</v>
      </c>
      <c r="P11" s="23" t="s">
        <v>32</v>
      </c>
      <c r="Q11" s="24">
        <f>[1]Schedule!D17</f>
        <v>15</v>
      </c>
      <c r="T11" s="52" t="s">
        <v>33</v>
      </c>
      <c r="U11" s="56">
        <v>17</v>
      </c>
      <c r="V11" s="56">
        <v>9</v>
      </c>
      <c r="W11" s="56">
        <v>5</v>
      </c>
      <c r="X11" s="56">
        <v>7</v>
      </c>
      <c r="Y11" s="56">
        <v>3</v>
      </c>
      <c r="Z11" s="56">
        <v>15</v>
      </c>
      <c r="AA11" s="56">
        <v>11</v>
      </c>
      <c r="AB11" s="56">
        <v>13</v>
      </c>
      <c r="AC11" s="56">
        <v>1</v>
      </c>
      <c r="AD11" s="57" t="s">
        <v>33</v>
      </c>
      <c r="AE11" s="56">
        <v>4</v>
      </c>
      <c r="AF11" s="56">
        <v>10</v>
      </c>
      <c r="AG11" s="56">
        <v>14</v>
      </c>
      <c r="AH11" s="56">
        <v>6</v>
      </c>
      <c r="AI11" s="56">
        <v>16</v>
      </c>
      <c r="AJ11" s="56">
        <v>12</v>
      </c>
      <c r="AK11" s="56">
        <v>18</v>
      </c>
      <c r="AL11" s="56">
        <v>2</v>
      </c>
      <c r="AM11" s="26">
        <v>8</v>
      </c>
      <c r="AN11" s="52" t="s">
        <v>33</v>
      </c>
      <c r="AO11" s="56">
        <v>7</v>
      </c>
      <c r="AP11" s="56">
        <v>17</v>
      </c>
      <c r="AQ11" s="56">
        <v>15</v>
      </c>
      <c r="AR11" s="56">
        <v>1</v>
      </c>
      <c r="AS11" s="56">
        <v>11</v>
      </c>
      <c r="AT11" s="56">
        <v>9</v>
      </c>
      <c r="AU11" s="56">
        <v>13</v>
      </c>
      <c r="AV11" s="56">
        <v>5</v>
      </c>
      <c r="AW11" s="56">
        <v>3</v>
      </c>
      <c r="AX11" s="57" t="s">
        <v>33</v>
      </c>
      <c r="AY11" s="56">
        <v>14</v>
      </c>
      <c r="AZ11" s="56">
        <v>8</v>
      </c>
      <c r="BA11" s="56">
        <v>6</v>
      </c>
      <c r="BB11" s="56">
        <v>4</v>
      </c>
      <c r="BC11" s="56">
        <v>16</v>
      </c>
      <c r="BD11" s="56">
        <v>2</v>
      </c>
      <c r="BE11" s="56">
        <v>10</v>
      </c>
      <c r="BF11" s="56">
        <v>12</v>
      </c>
      <c r="BG11" s="26">
        <v>18</v>
      </c>
      <c r="BH11" s="52" t="s">
        <v>30</v>
      </c>
      <c r="BI11" s="56">
        <v>7</v>
      </c>
      <c r="BJ11" s="56">
        <v>3</v>
      </c>
      <c r="BK11" s="56">
        <v>13</v>
      </c>
      <c r="BL11" s="56">
        <v>9</v>
      </c>
      <c r="BM11" s="56">
        <v>11</v>
      </c>
      <c r="BN11" s="56">
        <v>15</v>
      </c>
      <c r="BO11" s="56">
        <v>1</v>
      </c>
      <c r="BP11" s="56">
        <v>5</v>
      </c>
      <c r="BQ11" s="56">
        <v>17</v>
      </c>
      <c r="BR11" s="57" t="s">
        <v>30</v>
      </c>
      <c r="BS11" s="56">
        <v>2</v>
      </c>
      <c r="BT11" s="56">
        <v>6</v>
      </c>
      <c r="BU11" s="56">
        <v>12</v>
      </c>
      <c r="BV11" s="56">
        <v>14</v>
      </c>
      <c r="BW11" s="56">
        <v>16</v>
      </c>
      <c r="BX11" s="56">
        <v>18</v>
      </c>
      <c r="BY11" s="56">
        <v>8</v>
      </c>
      <c r="BZ11" s="56">
        <v>4</v>
      </c>
      <c r="CA11" s="26">
        <v>10</v>
      </c>
      <c r="CB11" s="52" t="s">
        <v>33</v>
      </c>
      <c r="CC11" s="56">
        <v>17</v>
      </c>
      <c r="CD11" s="56">
        <v>3</v>
      </c>
      <c r="CE11" s="56">
        <v>11</v>
      </c>
      <c r="CF11" s="56">
        <v>13</v>
      </c>
      <c r="CG11" s="56">
        <v>7</v>
      </c>
      <c r="CH11" s="56">
        <v>15</v>
      </c>
      <c r="CI11" s="56">
        <v>9</v>
      </c>
      <c r="CJ11" s="56">
        <v>5</v>
      </c>
      <c r="CK11" s="56">
        <v>1</v>
      </c>
      <c r="CL11" s="57" t="s">
        <v>33</v>
      </c>
      <c r="CM11" s="56">
        <v>16</v>
      </c>
      <c r="CN11" s="56">
        <v>18</v>
      </c>
      <c r="CO11" s="56">
        <v>2</v>
      </c>
      <c r="CP11" s="56">
        <v>14</v>
      </c>
      <c r="CQ11" s="56">
        <v>12</v>
      </c>
      <c r="CR11" s="56">
        <v>8</v>
      </c>
      <c r="CS11" s="56">
        <v>4</v>
      </c>
      <c r="CT11" s="56">
        <v>6</v>
      </c>
      <c r="CU11" s="26">
        <v>10</v>
      </c>
    </row>
    <row r="12" spans="2:99" ht="15" customHeight="1" thickBot="1" x14ac:dyDescent="0.3">
      <c r="B12" s="28" t="s">
        <v>34</v>
      </c>
      <c r="C12" s="29">
        <v>5</v>
      </c>
      <c r="D12" s="30">
        <v>5</v>
      </c>
      <c r="E12" s="31">
        <v>6</v>
      </c>
      <c r="F12" s="29">
        <v>5</v>
      </c>
      <c r="G12" s="30">
        <v>5</v>
      </c>
      <c r="H12" s="31">
        <v>6</v>
      </c>
      <c r="I12" s="29">
        <v>4</v>
      </c>
      <c r="J12" s="30">
        <v>5</v>
      </c>
      <c r="K12" s="31">
        <v>6</v>
      </c>
      <c r="L12" s="12">
        <f>SUM(C12:K12)</f>
        <v>47</v>
      </c>
      <c r="M12" s="32">
        <f>SUM(C12:K12)-SUM(C$10:K$10)</f>
        <v>12</v>
      </c>
      <c r="O12" s="22">
        <v>4</v>
      </c>
      <c r="P12" s="23" t="s">
        <v>35</v>
      </c>
      <c r="Q12" s="24">
        <f>[1]Schedule!D18</f>
        <v>24</v>
      </c>
      <c r="T12" s="58" t="s">
        <v>36</v>
      </c>
      <c r="U12" s="59">
        <v>4</v>
      </c>
      <c r="V12" s="59">
        <v>3</v>
      </c>
      <c r="W12" s="59">
        <v>4</v>
      </c>
      <c r="X12" s="59">
        <v>5</v>
      </c>
      <c r="Y12" s="59">
        <v>4</v>
      </c>
      <c r="Z12" s="59">
        <v>4</v>
      </c>
      <c r="AA12" s="59">
        <v>3</v>
      </c>
      <c r="AB12" s="59">
        <v>5</v>
      </c>
      <c r="AC12" s="59">
        <v>4</v>
      </c>
      <c r="AD12" s="60" t="s">
        <v>36</v>
      </c>
      <c r="AE12" s="59">
        <v>4</v>
      </c>
      <c r="AF12" s="59">
        <v>5</v>
      </c>
      <c r="AG12" s="59">
        <v>4</v>
      </c>
      <c r="AH12" s="59">
        <v>4</v>
      </c>
      <c r="AI12" s="59">
        <v>3</v>
      </c>
      <c r="AJ12" s="59">
        <v>4</v>
      </c>
      <c r="AK12" s="59">
        <v>3</v>
      </c>
      <c r="AL12" s="59">
        <v>4</v>
      </c>
      <c r="AM12" s="61">
        <v>5</v>
      </c>
      <c r="AN12" s="58" t="s">
        <v>36</v>
      </c>
      <c r="AO12" s="59">
        <v>4</v>
      </c>
      <c r="AP12" s="59">
        <v>5</v>
      </c>
      <c r="AQ12" s="59">
        <v>3</v>
      </c>
      <c r="AR12" s="59">
        <v>4</v>
      </c>
      <c r="AS12" s="59">
        <v>4</v>
      </c>
      <c r="AT12" s="59">
        <v>3</v>
      </c>
      <c r="AU12" s="59">
        <v>5</v>
      </c>
      <c r="AV12" s="59">
        <v>4</v>
      </c>
      <c r="AW12" s="59">
        <v>4</v>
      </c>
      <c r="AX12" s="60" t="s">
        <v>36</v>
      </c>
      <c r="AY12" s="59">
        <v>4</v>
      </c>
      <c r="AZ12" s="59">
        <v>3</v>
      </c>
      <c r="BA12" s="59">
        <v>5</v>
      </c>
      <c r="BB12" s="59">
        <v>4</v>
      </c>
      <c r="BC12" s="59">
        <v>4</v>
      </c>
      <c r="BD12" s="59">
        <v>4</v>
      </c>
      <c r="BE12" s="59">
        <v>4</v>
      </c>
      <c r="BF12" s="59">
        <v>3</v>
      </c>
      <c r="BG12" s="61">
        <v>5</v>
      </c>
      <c r="BH12" s="58" t="s">
        <v>36</v>
      </c>
      <c r="BI12" s="59">
        <v>5</v>
      </c>
      <c r="BJ12" s="59">
        <v>4</v>
      </c>
      <c r="BK12" s="59">
        <v>3</v>
      </c>
      <c r="BL12" s="59">
        <v>5</v>
      </c>
      <c r="BM12" s="59">
        <v>4</v>
      </c>
      <c r="BN12" s="59">
        <v>3</v>
      </c>
      <c r="BO12" s="59">
        <v>4</v>
      </c>
      <c r="BP12" s="59">
        <v>3</v>
      </c>
      <c r="BQ12" s="59">
        <v>4</v>
      </c>
      <c r="BR12" s="60" t="s">
        <v>36</v>
      </c>
      <c r="BS12" s="59">
        <v>4</v>
      </c>
      <c r="BT12" s="59">
        <v>4</v>
      </c>
      <c r="BU12" s="59">
        <v>3</v>
      </c>
      <c r="BV12" s="59">
        <v>5</v>
      </c>
      <c r="BW12" s="59">
        <v>4</v>
      </c>
      <c r="BX12" s="59">
        <v>4</v>
      </c>
      <c r="BY12" s="59">
        <v>3</v>
      </c>
      <c r="BZ12" s="59">
        <v>5</v>
      </c>
      <c r="CA12" s="61">
        <v>4</v>
      </c>
      <c r="CB12" s="58" t="s">
        <v>36</v>
      </c>
      <c r="CC12" s="59">
        <v>4</v>
      </c>
      <c r="CD12" s="59">
        <v>4</v>
      </c>
      <c r="CE12" s="59">
        <v>3</v>
      </c>
      <c r="CF12" s="59">
        <v>4</v>
      </c>
      <c r="CG12" s="59">
        <v>5</v>
      </c>
      <c r="CH12" s="59">
        <v>4</v>
      </c>
      <c r="CI12" s="59">
        <v>3</v>
      </c>
      <c r="CJ12" s="59">
        <v>4</v>
      </c>
      <c r="CK12" s="59">
        <v>4</v>
      </c>
      <c r="CL12" s="60" t="s">
        <v>36</v>
      </c>
      <c r="CM12" s="59">
        <v>4</v>
      </c>
      <c r="CN12" s="59">
        <v>4</v>
      </c>
      <c r="CO12" s="59">
        <v>4</v>
      </c>
      <c r="CP12" s="59">
        <v>3</v>
      </c>
      <c r="CQ12" s="59">
        <v>5</v>
      </c>
      <c r="CR12" s="59">
        <v>4</v>
      </c>
      <c r="CS12" s="59">
        <v>3</v>
      </c>
      <c r="CT12" s="59">
        <v>4</v>
      </c>
      <c r="CU12" s="61">
        <v>5</v>
      </c>
    </row>
    <row r="13" spans="2:99" x14ac:dyDescent="0.25">
      <c r="B13" s="25" t="s">
        <v>37</v>
      </c>
      <c r="C13" s="27">
        <f t="shared" ref="C13:K13" si="0">INT($D$8/18)+IF(C11&lt;=MOD($D$8,18),1,0)</f>
        <v>1</v>
      </c>
      <c r="D13" s="12">
        <f t="shared" si="0"/>
        <v>2</v>
      </c>
      <c r="E13" s="26">
        <f t="shared" si="0"/>
        <v>1</v>
      </c>
      <c r="F13" s="27">
        <f t="shared" si="0"/>
        <v>1</v>
      </c>
      <c r="G13" s="12">
        <f t="shared" si="0"/>
        <v>2</v>
      </c>
      <c r="H13" s="26">
        <f t="shared" si="0"/>
        <v>1</v>
      </c>
      <c r="I13" s="27">
        <f t="shared" si="0"/>
        <v>2</v>
      </c>
      <c r="J13" s="12">
        <f t="shared" si="0"/>
        <v>2</v>
      </c>
      <c r="K13" s="26">
        <f t="shared" si="0"/>
        <v>2</v>
      </c>
      <c r="L13" s="32"/>
      <c r="O13" s="22">
        <v>5</v>
      </c>
      <c r="P13" s="23" t="s">
        <v>38</v>
      </c>
      <c r="Q13" s="24">
        <f>[1]Schedule!D19</f>
        <v>25</v>
      </c>
    </row>
    <row r="14" spans="2:99" x14ac:dyDescent="0.25">
      <c r="B14" s="25" t="s">
        <v>39</v>
      </c>
      <c r="C14" s="27">
        <f>C12-C13</f>
        <v>4</v>
      </c>
      <c r="D14" s="12">
        <f t="shared" ref="D14:K14" si="1">D12-INT($D$8/18)-IF(D11&lt;=MOD($D$8,18),1,0)</f>
        <v>3</v>
      </c>
      <c r="E14" s="26">
        <f t="shared" si="1"/>
        <v>5</v>
      </c>
      <c r="F14" s="27">
        <f t="shared" si="1"/>
        <v>4</v>
      </c>
      <c r="G14" s="12">
        <f t="shared" si="1"/>
        <v>3</v>
      </c>
      <c r="H14" s="26">
        <f t="shared" si="1"/>
        <v>5</v>
      </c>
      <c r="I14" s="27">
        <f t="shared" si="1"/>
        <v>2</v>
      </c>
      <c r="J14" s="12">
        <f t="shared" si="1"/>
        <v>3</v>
      </c>
      <c r="K14" s="26">
        <f t="shared" si="1"/>
        <v>4</v>
      </c>
      <c r="L14" s="33">
        <f>SUM(C14:K14)</f>
        <v>33</v>
      </c>
      <c r="M14" s="32">
        <f>SUM(C14:K14)-SUM(C$10:K$10)</f>
        <v>-2</v>
      </c>
      <c r="O14" s="22">
        <v>6</v>
      </c>
      <c r="P14" s="23" t="s">
        <v>40</v>
      </c>
      <c r="Q14" s="24">
        <f>[1]Schedule!D20</f>
        <v>24</v>
      </c>
    </row>
    <row r="15" spans="2:99" ht="14.25" customHeight="1" thickBot="1" x14ac:dyDescent="0.3">
      <c r="B15" s="34" t="s">
        <v>41</v>
      </c>
      <c r="C15" s="35">
        <f t="shared" ref="C15:K15" si="2">IF(C14&lt;C23,1,0)</f>
        <v>0</v>
      </c>
      <c r="D15" s="36">
        <f t="shared" si="2"/>
        <v>1</v>
      </c>
      <c r="E15" s="37">
        <f t="shared" si="2"/>
        <v>0</v>
      </c>
      <c r="F15" s="35">
        <f t="shared" si="2"/>
        <v>1</v>
      </c>
      <c r="G15" s="36">
        <f t="shared" si="2"/>
        <v>1</v>
      </c>
      <c r="H15" s="37">
        <f t="shared" si="2"/>
        <v>1</v>
      </c>
      <c r="I15" s="35">
        <f t="shared" si="2"/>
        <v>1</v>
      </c>
      <c r="J15" s="36">
        <f t="shared" si="2"/>
        <v>1</v>
      </c>
      <c r="K15" s="37">
        <f t="shared" si="2"/>
        <v>1</v>
      </c>
      <c r="L15" s="12"/>
      <c r="O15" s="22">
        <f>O14+1</f>
        <v>7</v>
      </c>
      <c r="P15" s="23" t="s">
        <v>42</v>
      </c>
      <c r="Q15" s="24">
        <f>[1]Schedule!D21</f>
        <v>30</v>
      </c>
    </row>
    <row r="16" spans="2:99" x14ac:dyDescent="0.25">
      <c r="C16" s="12"/>
      <c r="D16" s="12"/>
      <c r="E16" s="12"/>
      <c r="F16" s="12"/>
      <c r="G16" s="12"/>
      <c r="H16" s="12"/>
      <c r="I16" s="12"/>
      <c r="J16" s="12"/>
      <c r="K16" s="12"/>
      <c r="L16" s="12"/>
      <c r="O16" s="22">
        <v>8</v>
      </c>
      <c r="P16" s="23" t="s">
        <v>43</v>
      </c>
      <c r="Q16" s="24">
        <f>[1]Schedule!D22</f>
        <v>28</v>
      </c>
    </row>
    <row r="17" spans="2:17" ht="16.5" customHeight="1" thickBot="1" x14ac:dyDescent="0.3">
      <c r="B17" s="13" t="s">
        <v>42</v>
      </c>
      <c r="C17" s="14" t="s">
        <v>14</v>
      </c>
      <c r="D17" s="12">
        <f>_xlfn.XLOOKUP(B17,$P$9:$P$23,$Q$9:$Q$23)</f>
        <v>30</v>
      </c>
      <c r="E17" s="12"/>
      <c r="F17" s="12" t="s">
        <v>15</v>
      </c>
      <c r="G17" s="15" t="s">
        <v>16</v>
      </c>
      <c r="H17" s="12"/>
      <c r="I17" s="12" t="s">
        <v>17</v>
      </c>
      <c r="J17" s="12" t="str">
        <f>J8</f>
        <v>Front 9</v>
      </c>
      <c r="K17" s="12"/>
      <c r="L17" s="12"/>
      <c r="O17" s="22">
        <v>9</v>
      </c>
      <c r="P17" s="23" t="s">
        <v>45</v>
      </c>
      <c r="Q17" s="24">
        <f>[1]Schedule!D23</f>
        <v>28</v>
      </c>
    </row>
    <row r="18" spans="2:17" ht="15" customHeight="1" x14ac:dyDescent="0.25">
      <c r="B18" s="18" t="s">
        <v>24</v>
      </c>
      <c r="C18" s="19">
        <v>1</v>
      </c>
      <c r="D18" s="20">
        <v>2</v>
      </c>
      <c r="E18" s="21">
        <v>3</v>
      </c>
      <c r="F18" s="19">
        <v>4</v>
      </c>
      <c r="G18" s="20">
        <v>5</v>
      </c>
      <c r="H18" s="21">
        <v>6</v>
      </c>
      <c r="I18" s="19">
        <v>7</v>
      </c>
      <c r="J18" s="20">
        <v>8</v>
      </c>
      <c r="K18" s="21">
        <v>9</v>
      </c>
      <c r="L18" s="12"/>
      <c r="M18" s="32"/>
      <c r="O18" s="22">
        <v>10</v>
      </c>
      <c r="P18" s="23" t="s">
        <v>13</v>
      </c>
      <c r="Q18" s="24">
        <f>[1]Schedule!D24</f>
        <v>20</v>
      </c>
    </row>
    <row r="19" spans="2:17" x14ac:dyDescent="0.25">
      <c r="B19" s="25" t="s">
        <v>27</v>
      </c>
      <c r="C19" s="12">
        <f t="array" ref="C19">_xlfn.IFS($B$2="Skybrook",_xlfn.IFS($J17="Back 9",INDEX($AE$12:$AM$12,1,C18),$J17="Front 9",INDEX($U$12:$AC$12,1,C18)),$B$2="Highland Creek",_xlfn.IFS($J17="Back 9",INDEX($AY$12:$BG$12,1,C18),$J17="Front 9",INDEX($AO$12:$AW$12,1,C18)),$B$2="Warrior Golf Club",_xlfn.IFS($J17="Back 9",INDEX($BS$12:$CA$12,1,C18),$J17="Front 9",INDEX($BI$12:$BQ$12,1,C18)),$B$2="Emerald Lake",_xlfn.IFS($J17="Back 9",INDEX($CM$12:$CU$12,1,C18),$J17="Front 9",INDEX($CC$12:$CK$12,1,C18)))</f>
        <v>4</v>
      </c>
      <c r="D19" s="12">
        <f t="array" ref="D19">_xlfn.IFS($B$2="Skybrook",_xlfn.IFS($J17="Back 9",INDEX($AE$12:$AM$12,1,D18),$J17="Front 9",INDEX($U$12:$AC$12,1,D18)),$B$2="Highland Creek",_xlfn.IFS($J17="Back 9",INDEX($AY$12:$BG$12,1,D18),$J17="Front 9",INDEX($AO$12:$AW$12,1,D18)),$B$2="Warrior Golf Club",_xlfn.IFS($J17="Back 9",INDEX($BS$12:$CA$12,1,D18),$J17="Front 9",INDEX($BI$12:$BQ$12,1,D18)),$B$2="Emerald Lake",_xlfn.IFS($J17="Back 9",INDEX($CM$12:$CU$12,1,D18),$J17="Front 9",INDEX($CC$12:$CK$12,1,D18)))</f>
        <v>4</v>
      </c>
      <c r="E19" s="26">
        <f t="array" ref="E19">_xlfn.IFS($B$2="Skybrook",_xlfn.IFS($J17="Back 9",INDEX($AE$12:$AM$12,1,E18),$J17="Front 9",INDEX($U$12:$AC$12,1,E18)),$B$2="Highland Creek",_xlfn.IFS($J17="Back 9",INDEX($AY$12:$BG$12,1,E18),$J17="Front 9",INDEX($AO$12:$AW$12,1,E18)),$B$2="Warrior Golf Club",_xlfn.IFS($J17="Back 9",INDEX($BS$12:$CA$12,1,E18),$J17="Front 9",INDEX($BI$12:$BQ$12,1,E18)),$B$2="Emerald Lake",_xlfn.IFS($J17="Back 9",INDEX($CM$12:$CU$12,1,E18),$J17="Front 9",INDEX($CC$12:$CK$12,1,E18)))</f>
        <v>3</v>
      </c>
      <c r="F19" s="27">
        <f t="array" ref="F19">_xlfn.IFS($B$2="Skybrook",_xlfn.IFS($J17="Back 9",INDEX($AE$12:$AM$12,1,F18),$J17="Front 9",INDEX($U$12:$AC$12,1,F18)),$B$2="Highland Creek",_xlfn.IFS($J17="Back 9",INDEX($AY$12:$BG$12,1,F18),$J17="Front 9",INDEX($AO$12:$AW$12,1,F18)),$B$2="Warrior Golf Club",_xlfn.IFS($J17="Back 9",INDEX($BS$12:$CA$12,1,F18),$J17="Front 9",INDEX($BI$12:$BQ$12,1,F18)),$B$2="Emerald Lake",_xlfn.IFS($J17="Back 9",INDEX($CM$12:$CU$12,1,F18),$J17="Front 9",INDEX($CC$12:$CK$12,1,F18)))</f>
        <v>4</v>
      </c>
      <c r="G19" s="12">
        <f t="array" ref="G19">_xlfn.IFS($B$2="Skybrook",_xlfn.IFS($J17="Back 9",INDEX($AE$12:$AM$12,1,G18),$J17="Front 9",INDEX($U$12:$AC$12,1,G18)),$B$2="Highland Creek",_xlfn.IFS($J17="Back 9",INDEX($AY$12:$BG$12,1,G18),$J17="Front 9",INDEX($AO$12:$AW$12,1,G18)),$B$2="Warrior Golf Club",_xlfn.IFS($J17="Back 9",INDEX($BS$12:$CA$12,1,G18),$J17="Front 9",INDEX($BI$12:$BQ$12,1,G18)),$B$2="Emerald Lake",_xlfn.IFS($J17="Back 9",INDEX($CM$12:$CU$12,1,G18),$J17="Front 9",INDEX($CC$12:$CK$12,1,G18)))</f>
        <v>5</v>
      </c>
      <c r="H19" s="26">
        <f t="array" ref="H19">_xlfn.IFS($B$2="Skybrook",_xlfn.IFS($J17="Back 9",INDEX($AE$12:$AM$12,1,H18),$J17="Front 9",INDEX($U$12:$AC$12,1,H18)),$B$2="Highland Creek",_xlfn.IFS($J17="Back 9",INDEX($AY$12:$BG$12,1,H18),$J17="Front 9",INDEX($AO$12:$AW$12,1,H18)),$B$2="Warrior Golf Club",_xlfn.IFS($J17="Back 9",INDEX($BS$12:$CA$12,1,H18),$J17="Front 9",INDEX($BI$12:$BQ$12,1,H18)),$B$2="Emerald Lake",_xlfn.IFS($J17="Back 9",INDEX($CM$12:$CU$12,1,H18),$J17="Front 9",INDEX($CC$12:$CK$12,1,H18)))</f>
        <v>4</v>
      </c>
      <c r="I19" s="27">
        <f t="array" ref="I19">_xlfn.IFS($B$2="Skybrook",_xlfn.IFS($J17="Back 9",INDEX($AE$12:$AM$12,1,I18),$J17="Front 9",INDEX($U$12:$AC$12,1,I18)),$B$2="Highland Creek",_xlfn.IFS($J17="Back 9",INDEX($AY$12:$BG$12,1,I18),$J17="Front 9",INDEX($AO$12:$AW$12,1,I18)),$B$2="Warrior Golf Club",_xlfn.IFS($J17="Back 9",INDEX($BS$12:$CA$12,1,I18),$J17="Front 9",INDEX($BI$12:$BQ$12,1,I18)),$B$2="Emerald Lake",_xlfn.IFS($J17="Back 9",INDEX($CM$12:$CU$12,1,I18),$J17="Front 9",INDEX($CC$12:$CK$12,1,I18)))</f>
        <v>3</v>
      </c>
      <c r="J19" s="12">
        <f t="array" ref="J19">_xlfn.IFS($B$2="Skybrook",_xlfn.IFS($J17="Back 9",INDEX($AE$12:$AM$12,1,J18),$J17="Front 9",INDEX($U$12:$AC$12,1,J18)),$B$2="Highland Creek",_xlfn.IFS($J17="Back 9",INDEX($AY$12:$BG$12,1,J18),$J17="Front 9",INDEX($AO$12:$AW$12,1,J18)),$B$2="Warrior Golf Club",_xlfn.IFS($J17="Back 9",INDEX($BS$12:$CA$12,1,J18),$J17="Front 9",INDEX($BI$12:$BQ$12,1,J18)),$B$2="Emerald Lake",_xlfn.IFS($J17="Back 9",INDEX($CM$12:$CU$12,1,J18),$J17="Front 9",INDEX($CC$12:$CK$12,1,J18)))</f>
        <v>4</v>
      </c>
      <c r="K19" s="26">
        <f t="array" ref="K19">_xlfn.IFS($B$2="Skybrook",_xlfn.IFS($J17="Back 9",INDEX($AE$12:$AM$12,1,K18),$J17="Front 9",INDEX($U$12:$AC$12,1,K18)),$B$2="Highland Creek",_xlfn.IFS($J17="Back 9",INDEX($AY$12:$BG$12,1,K18),$J17="Front 9",INDEX($AO$12:$AW$12,1,K18)),$B$2="Warrior Golf Club",_xlfn.IFS($J17="Back 9",INDEX($BS$12:$CA$12,1,K18),$J17="Front 9",INDEX($BI$12:$BQ$12,1,K18)),$B$2="Emerald Lake",_xlfn.IFS($J17="Back 9",INDEX($CM$12:$CU$12,1,K18),$J17="Front 9",INDEX($CC$12:$CK$12,1,K18)))</f>
        <v>4</v>
      </c>
      <c r="L19" s="12">
        <f>SUM(C19:K19)</f>
        <v>35</v>
      </c>
      <c r="O19" s="22">
        <f>O18+1</f>
        <v>11</v>
      </c>
      <c r="P19" s="23" t="s">
        <v>46</v>
      </c>
      <c r="Q19" s="24">
        <f>[1]Schedule!D25</f>
        <v>36</v>
      </c>
    </row>
    <row r="20" spans="2:17" x14ac:dyDescent="0.25">
      <c r="B20" s="25" t="s">
        <v>31</v>
      </c>
      <c r="C20" s="12">
        <f t="array" ref="C20">_xlfn.IFS($B$2="Skybrook",_xlfn.IFS($J17="Back 9",VLOOKUP($G17,$AD$9:$AM$11,COLUMN()-1,0),$J17="Front 9",VLOOKUP($G17,$T$9:$AC$11,COLUMN()-1,0)),$B$2="Highland Creek",_xlfn.IFS($J17="Back 9",VLOOKUP($G17,$AX$9:$BG$11,COLUMN()-1,0),$J17="Front 9",VLOOKUP($G17,$AN$9:$AW$11,COLUMN()-1,0)),$B$2="Warrior Golf Club",_xlfn.IFS($J17="Back 9",VLOOKUP($G17,$BR$9:$CA$11,COLUMN()-1,0),$J17="Front 9",VLOOKUP($G17,$BH$9:$BQ$11,COLUMN()-1,0)),$B$2="Emerald Lake",_xlfn.IFS($J17="Back 9",VLOOKUP($G17,$CL$9:$CU$11,COLUMN()-1,0),$J17="Front 9",VLOOKUP($G17,$CB$9:$CK$11,COLUMN()-1,0)))</f>
        <v>17</v>
      </c>
      <c r="D20" s="12">
        <f t="array" ref="D20">_xlfn.IFS($B$2="Skybrook",_xlfn.IFS($J17="Back 9",VLOOKUP($G17,$AD$9:$AM$11,COLUMN()-1,0),$J17="Front 9",VLOOKUP($G17,$T$9:$AC$11,COLUMN()-1,0)),$B$2="Highland Creek",_xlfn.IFS($J17="Back 9",VLOOKUP($G17,$AX$9:$BG$11,COLUMN()-1,0),$J17="Front 9",VLOOKUP($G17,$AN$9:$AW$11,COLUMN()-1,0)),$B$2="Warrior Golf Club",_xlfn.IFS($J17="Back 9",VLOOKUP($G17,$BR$9:$CA$11,COLUMN()-1,0),$J17="Front 9",VLOOKUP($G17,$BH$9:$BQ$11,COLUMN()-1,0)),$B$2="Emerald Lake",_xlfn.IFS($J17="Back 9",VLOOKUP($G17,$CL$9:$CU$11,COLUMN()-1,0),$J17="Front 9",VLOOKUP($G17,$CB$9:$CK$11,COLUMN()-1,0)))</f>
        <v>3</v>
      </c>
      <c r="E20" s="26">
        <f t="array" ref="E20">_xlfn.IFS($B$2="Skybrook",_xlfn.IFS($J17="Back 9",VLOOKUP($G17,$AD$9:$AM$11,COLUMN()-1,0),$J17="Front 9",VLOOKUP($G17,$T$9:$AC$11,COLUMN()-1,0)),$B$2="Highland Creek",_xlfn.IFS($J17="Back 9",VLOOKUP($G17,$AX$9:$BG$11,COLUMN()-1,0),$J17="Front 9",VLOOKUP($G17,$AN$9:$AW$11,COLUMN()-1,0)),$B$2="Warrior Golf Club",_xlfn.IFS($J17="Back 9",VLOOKUP($G17,$BR$9:$CA$11,COLUMN()-1,0),$J17="Front 9",VLOOKUP($G17,$BH$9:$BQ$11,COLUMN()-1,0)),$B$2="Emerald Lake",_xlfn.IFS($J17="Back 9",VLOOKUP($G17,$CL$9:$CU$11,COLUMN()-1,0),$J17="Front 9",VLOOKUP($G17,$CB$9:$CK$11,COLUMN()-1,0)))</f>
        <v>11</v>
      </c>
      <c r="F20" s="27">
        <f t="array" ref="F20">_xlfn.IFS($B$2="Skybrook",_xlfn.IFS($J17="Back 9",VLOOKUP($G17,$AD$9:$AM$11,COLUMN()-1,0),$J17="Front 9",VLOOKUP($G17,$T$9:$AC$11,COLUMN()-1,0)),$B$2="Highland Creek",_xlfn.IFS($J17="Back 9",VLOOKUP($G17,$AX$9:$BG$11,COLUMN()-1,0),$J17="Front 9",VLOOKUP($G17,$AN$9:$AW$11,COLUMN()-1,0)),$B$2="Warrior Golf Club",_xlfn.IFS($J17="Back 9",VLOOKUP($G17,$BR$9:$CA$11,COLUMN()-1,0),$J17="Front 9",VLOOKUP($G17,$BH$9:$BQ$11,COLUMN()-1,0)),$B$2="Emerald Lake",_xlfn.IFS($J17="Back 9",VLOOKUP($G17,$CL$9:$CU$11,COLUMN()-1,0),$J17="Front 9",VLOOKUP($G17,$CB$9:$CK$11,COLUMN()-1,0)))</f>
        <v>13</v>
      </c>
      <c r="G20" s="12">
        <f t="array" ref="G20">_xlfn.IFS($B$2="Skybrook",_xlfn.IFS($J17="Back 9",VLOOKUP($G17,$AD$9:$AM$11,COLUMN()-1,0),$J17="Front 9",VLOOKUP($G17,$T$9:$AC$11,COLUMN()-1,0)),$B$2="Highland Creek",_xlfn.IFS($J17="Back 9",VLOOKUP($G17,$AX$9:$BG$11,COLUMN()-1,0),$J17="Front 9",VLOOKUP($G17,$AN$9:$AW$11,COLUMN()-1,0)),$B$2="Warrior Golf Club",_xlfn.IFS($J17="Back 9",VLOOKUP($G17,$BR$9:$CA$11,COLUMN()-1,0),$J17="Front 9",VLOOKUP($G17,$BH$9:$BQ$11,COLUMN()-1,0)),$B$2="Emerald Lake",_xlfn.IFS($J17="Back 9",VLOOKUP($G17,$CL$9:$CU$11,COLUMN()-1,0),$J17="Front 9",VLOOKUP($G17,$CB$9:$CK$11,COLUMN()-1,0)))</f>
        <v>7</v>
      </c>
      <c r="H20" s="26">
        <f t="array" ref="H20">_xlfn.IFS($B$2="Skybrook",_xlfn.IFS($J17="Back 9",VLOOKUP($G17,$AD$9:$AM$11,COLUMN()-1,0),$J17="Front 9",VLOOKUP($G17,$T$9:$AC$11,COLUMN()-1,0)),$B$2="Highland Creek",_xlfn.IFS($J17="Back 9",VLOOKUP($G17,$AX$9:$BG$11,COLUMN()-1,0),$J17="Front 9",VLOOKUP($G17,$AN$9:$AW$11,COLUMN()-1,0)),$B$2="Warrior Golf Club",_xlfn.IFS($J17="Back 9",VLOOKUP($G17,$BR$9:$CA$11,COLUMN()-1,0),$J17="Front 9",VLOOKUP($G17,$BH$9:$BQ$11,COLUMN()-1,0)),$B$2="Emerald Lake",_xlfn.IFS($J17="Back 9",VLOOKUP($G17,$CL$9:$CU$11,COLUMN()-1,0),$J17="Front 9",VLOOKUP($G17,$CB$9:$CK$11,COLUMN()-1,0)))</f>
        <v>15</v>
      </c>
      <c r="I20" s="27">
        <f t="array" ref="I20">_xlfn.IFS($B$2="Skybrook",_xlfn.IFS($J17="Back 9",VLOOKUP($G17,$AD$9:$AM$11,COLUMN()-1,0),$J17="Front 9",VLOOKUP($G17,$T$9:$AC$11,COLUMN()-1,0)),$B$2="Highland Creek",_xlfn.IFS($J17="Back 9",VLOOKUP($G17,$AX$9:$BG$11,COLUMN()-1,0),$J17="Front 9",VLOOKUP($G17,$AN$9:$AW$11,COLUMN()-1,0)),$B$2="Warrior Golf Club",_xlfn.IFS($J17="Back 9",VLOOKUP($G17,$BR$9:$CA$11,COLUMN()-1,0),$J17="Front 9",VLOOKUP($G17,$BH$9:$BQ$11,COLUMN()-1,0)),$B$2="Emerald Lake",_xlfn.IFS($J17="Back 9",VLOOKUP($G17,$CL$9:$CU$11,COLUMN()-1,0),$J17="Front 9",VLOOKUP($G17,$CB$9:$CK$11,COLUMN()-1,0)))</f>
        <v>9</v>
      </c>
      <c r="J20" s="12">
        <f t="array" ref="J20">_xlfn.IFS($B$2="Skybrook",_xlfn.IFS($J17="Back 9",VLOOKUP($G17,$AD$9:$AM$11,COLUMN()-1,0),$J17="Front 9",VLOOKUP($G17,$T$9:$AC$11,COLUMN()-1,0)),$B$2="Highland Creek",_xlfn.IFS($J17="Back 9",VLOOKUP($G17,$AX$9:$BG$11,COLUMN()-1,0),$J17="Front 9",VLOOKUP($G17,$AN$9:$AW$11,COLUMN()-1,0)),$B$2="Warrior Golf Club",_xlfn.IFS($J17="Back 9",VLOOKUP($G17,$BR$9:$CA$11,COLUMN()-1,0),$J17="Front 9",VLOOKUP($G17,$BH$9:$BQ$11,COLUMN()-1,0)),$B$2="Emerald Lake",_xlfn.IFS($J17="Back 9",VLOOKUP($G17,$CL$9:$CU$11,COLUMN()-1,0),$J17="Front 9",VLOOKUP($G17,$CB$9:$CK$11,COLUMN()-1,0)))</f>
        <v>5</v>
      </c>
      <c r="K20" s="26">
        <f t="array" ref="K20">_xlfn.IFS($B$2="Skybrook",_xlfn.IFS($J17="Back 9",VLOOKUP($G17,$AD$9:$AM$11,COLUMN()-1,0),$J17="Front 9",VLOOKUP($G17,$T$9:$AC$11,COLUMN()-1,0)),$B$2="Highland Creek",_xlfn.IFS($J17="Back 9",VLOOKUP($G17,$AX$9:$BG$11,COLUMN()-1,0),$J17="Front 9",VLOOKUP($G17,$AN$9:$AW$11,COLUMN()-1,0)),$B$2="Warrior Golf Club",_xlfn.IFS($J17="Back 9",VLOOKUP($G17,$BR$9:$CA$11,COLUMN()-1,0),$J17="Front 9",VLOOKUP($G17,$BH$9:$BQ$11,COLUMN()-1,0)),$B$2="Emerald Lake",_xlfn.IFS($J17="Back 9",VLOOKUP($G17,$CL$9:$CU$11,COLUMN()-1,0),$J17="Front 9",VLOOKUP($G17,$CB$9:$CK$11,COLUMN()-1,0)))</f>
        <v>1</v>
      </c>
      <c r="L20" s="12"/>
      <c r="O20" s="22">
        <v>12</v>
      </c>
      <c r="P20" s="23" t="s">
        <v>44</v>
      </c>
      <c r="Q20" s="24">
        <f>[1]Schedule!D26</f>
        <v>36</v>
      </c>
    </row>
    <row r="21" spans="2:17" ht="15" customHeight="1" x14ac:dyDescent="0.25">
      <c r="B21" s="28" t="s">
        <v>34</v>
      </c>
      <c r="C21" s="29">
        <v>5</v>
      </c>
      <c r="D21" s="30">
        <v>8</v>
      </c>
      <c r="E21" s="31">
        <v>6</v>
      </c>
      <c r="F21" s="29">
        <v>6</v>
      </c>
      <c r="G21" s="30">
        <v>10</v>
      </c>
      <c r="H21" s="31">
        <v>8</v>
      </c>
      <c r="I21" s="29">
        <v>5</v>
      </c>
      <c r="J21" s="30">
        <v>7</v>
      </c>
      <c r="K21" s="31">
        <v>8</v>
      </c>
      <c r="L21" s="12">
        <f>SUM(C21:K21)</f>
        <v>63</v>
      </c>
      <c r="M21" s="32">
        <f>SUM(C21:K21)-SUM(C$10:K$10)</f>
        <v>28</v>
      </c>
      <c r="O21" s="22">
        <v>13</v>
      </c>
      <c r="P21" s="23" t="s">
        <v>47</v>
      </c>
      <c r="Q21" s="24">
        <f>[1]Schedule!D27</f>
        <v>36</v>
      </c>
    </row>
    <row r="22" spans="2:17" x14ac:dyDescent="0.25">
      <c r="B22" s="25" t="s">
        <v>37</v>
      </c>
      <c r="C22" s="27">
        <f t="shared" ref="C22:K22" si="3">INT($D$17/18)+IF(C20&lt;=MOD($D$17,18),1,0)</f>
        <v>1</v>
      </c>
      <c r="D22" s="12">
        <f t="shared" si="3"/>
        <v>2</v>
      </c>
      <c r="E22" s="26">
        <f t="shared" si="3"/>
        <v>2</v>
      </c>
      <c r="F22" s="27">
        <f t="shared" si="3"/>
        <v>1</v>
      </c>
      <c r="G22" s="12">
        <f t="shared" si="3"/>
        <v>2</v>
      </c>
      <c r="H22" s="26">
        <f t="shared" si="3"/>
        <v>1</v>
      </c>
      <c r="I22" s="27">
        <f t="shared" si="3"/>
        <v>2</v>
      </c>
      <c r="J22" s="12">
        <f t="shared" si="3"/>
        <v>2</v>
      </c>
      <c r="K22" s="26">
        <f t="shared" si="3"/>
        <v>2</v>
      </c>
      <c r="L22" s="32"/>
      <c r="O22" s="22">
        <v>14</v>
      </c>
      <c r="P22" s="23" t="s">
        <v>48</v>
      </c>
      <c r="Q22" s="24">
        <f>[1]Schedule!D28</f>
        <v>36</v>
      </c>
    </row>
    <row r="23" spans="2:17" x14ac:dyDescent="0.25">
      <c r="B23" s="25" t="s">
        <v>39</v>
      </c>
      <c r="C23" s="27">
        <f t="shared" ref="C23:K23" si="4">C21-C22</f>
        <v>4</v>
      </c>
      <c r="D23" s="12">
        <f t="shared" si="4"/>
        <v>6</v>
      </c>
      <c r="E23" s="26">
        <f t="shared" si="4"/>
        <v>4</v>
      </c>
      <c r="F23" s="27">
        <f t="shared" si="4"/>
        <v>5</v>
      </c>
      <c r="G23" s="12">
        <f t="shared" si="4"/>
        <v>8</v>
      </c>
      <c r="H23" s="26">
        <f t="shared" si="4"/>
        <v>7</v>
      </c>
      <c r="I23" s="27">
        <f t="shared" si="4"/>
        <v>3</v>
      </c>
      <c r="J23" s="12">
        <f t="shared" si="4"/>
        <v>5</v>
      </c>
      <c r="K23" s="26">
        <f t="shared" si="4"/>
        <v>6</v>
      </c>
      <c r="L23" s="33">
        <f>SUM(C23:K23)</f>
        <v>48</v>
      </c>
      <c r="M23" s="32">
        <f>SUM(C23:K23)-SUM(C$10:K$10)</f>
        <v>13</v>
      </c>
      <c r="O23" s="22">
        <v>15</v>
      </c>
      <c r="P23" s="23" t="s">
        <v>49</v>
      </c>
      <c r="Q23" s="24">
        <f>[1]Schedule!D29</f>
        <v>36</v>
      </c>
    </row>
    <row r="24" spans="2:17" ht="14.25" customHeight="1" thickBot="1" x14ac:dyDescent="0.25">
      <c r="B24" s="34" t="s">
        <v>41</v>
      </c>
      <c r="C24" s="35">
        <f t="shared" ref="C24:K24" si="5">IF(C23&lt;C14,1,0)</f>
        <v>0</v>
      </c>
      <c r="D24" s="36">
        <f t="shared" si="5"/>
        <v>0</v>
      </c>
      <c r="E24" s="37">
        <f t="shared" si="5"/>
        <v>1</v>
      </c>
      <c r="F24" s="35">
        <f t="shared" si="5"/>
        <v>0</v>
      </c>
      <c r="G24" s="36">
        <f t="shared" si="5"/>
        <v>0</v>
      </c>
      <c r="H24" s="37">
        <f t="shared" si="5"/>
        <v>0</v>
      </c>
      <c r="I24" s="35">
        <f t="shared" si="5"/>
        <v>0</v>
      </c>
      <c r="J24" s="36">
        <f t="shared" si="5"/>
        <v>0</v>
      </c>
      <c r="K24" s="37">
        <f t="shared" si="5"/>
        <v>0</v>
      </c>
      <c r="L24" s="12"/>
    </row>
  </sheetData>
  <mergeCells count="19">
    <mergeCell ref="CC8:CK8"/>
    <mergeCell ref="CL8:CU8"/>
    <mergeCell ref="CB7:CU7"/>
    <mergeCell ref="B3:B4"/>
    <mergeCell ref="T7:AM7"/>
    <mergeCell ref="J1:M1"/>
    <mergeCell ref="AD8:AM8"/>
    <mergeCell ref="AX8:BG8"/>
    <mergeCell ref="AN7:BG7"/>
    <mergeCell ref="L3:M5"/>
    <mergeCell ref="U8:AC8"/>
    <mergeCell ref="B5:B6"/>
    <mergeCell ref="AO8:AW8"/>
    <mergeCell ref="L2:M2"/>
    <mergeCell ref="BH7:CA7"/>
    <mergeCell ref="J3:K5"/>
    <mergeCell ref="J2:K2"/>
    <mergeCell ref="BR8:CA8"/>
    <mergeCell ref="BI8:BQ8"/>
  </mergeCells>
  <conditionalFormatting sqref="C15:K15 C24:K24">
    <cfRule type="cellIs" dxfId="0" priority="1" operator="greaterThan">
      <formula>0.5</formula>
    </cfRule>
  </conditionalFormatting>
  <dataValidations count="4">
    <dataValidation type="list" allowBlank="1" showInputMessage="1" showErrorMessage="1" sqref="B8 B17" xr:uid="{00000000-0002-0000-0000-000000000000}">
      <formula1>$P$9:$P$23</formula1>
    </dataValidation>
    <dataValidation type="list" allowBlank="1" showInputMessage="1" showErrorMessage="1" sqref="G8 G17 G29" xr:uid="{00000000-0002-0000-0000-000001000000}">
      <formula1>INDIRECT(SUBSTITUTE($B$2," ","_"))</formula1>
    </dataValidation>
    <dataValidation type="list" allowBlank="1" showInputMessage="1" showErrorMessage="1" sqref="B2" xr:uid="{00000000-0002-0000-0000-000002000000}">
      <formula1>$T$7:$CU$7</formula1>
    </dataValidation>
    <dataValidation type="list" showInputMessage="1" showErrorMessage="1" sqref="J8 J17" xr:uid="{00000000-0002-0000-0000-000003000000}">
      <formula1>$U$8:$AD$8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5"/>
  <sheetViews>
    <sheetView workbookViewId="0">
      <selection activeCell="M38" sqref="M38"/>
    </sheetView>
  </sheetViews>
  <sheetFormatPr defaultRowHeight="12.75" x14ac:dyDescent="0.2"/>
  <cols>
    <col min="3" max="3" width="8.85546875" bestFit="1" customWidth="1"/>
    <col min="4" max="4" width="14.140625" bestFit="1" customWidth="1"/>
    <col min="5" max="6" width="13" customWidth="1"/>
  </cols>
  <sheetData>
    <row r="2" spans="3:6" x14ac:dyDescent="0.2">
      <c r="C2" t="s">
        <v>10</v>
      </c>
      <c r="D2" t="s">
        <v>50</v>
      </c>
      <c r="E2" t="s">
        <v>51</v>
      </c>
      <c r="F2" t="s">
        <v>52</v>
      </c>
    </row>
    <row r="3" spans="3:6" x14ac:dyDescent="0.2">
      <c r="C3" t="s">
        <v>16</v>
      </c>
      <c r="D3" t="s">
        <v>16</v>
      </c>
      <c r="E3" t="s">
        <v>26</v>
      </c>
      <c r="F3" t="s">
        <v>16</v>
      </c>
    </row>
    <row r="4" spans="3:6" x14ac:dyDescent="0.2">
      <c r="C4" t="s">
        <v>29</v>
      </c>
      <c r="D4" t="s">
        <v>30</v>
      </c>
      <c r="E4" t="s">
        <v>16</v>
      </c>
      <c r="F4" t="s">
        <v>30</v>
      </c>
    </row>
    <row r="5" spans="3:6" x14ac:dyDescent="0.2">
      <c r="C5" t="s">
        <v>33</v>
      </c>
      <c r="D5" t="s">
        <v>33</v>
      </c>
      <c r="E5" t="s">
        <v>30</v>
      </c>
      <c r="F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Calculator</vt:lpstr>
      <vt:lpstr>Helper</vt:lpstr>
      <vt:lpstr>Emerald_Lake</vt:lpstr>
      <vt:lpstr>Highland_Creek</vt:lpstr>
      <vt:lpstr>Skybrook</vt:lpstr>
      <vt:lpstr>Warrior_Golf_Club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High</dc:creator>
  <cp:lastModifiedBy>Ethan High</cp:lastModifiedBy>
  <dcterms:created xsi:type="dcterms:W3CDTF">2026-04-21T17:26:17Z</dcterms:created>
  <dcterms:modified xsi:type="dcterms:W3CDTF">2026-09-29T12:52:07Z</dcterms:modified>
</cp:coreProperties>
</file>