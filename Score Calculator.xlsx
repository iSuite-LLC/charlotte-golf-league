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"/>
    </mc:Choice>
  </mc:AlternateContent>
  <xr:revisionPtr revIDLastSave="88" documentId="8_{A2D2493B-942A-431B-BFE9-D343A07FD7E4}" xr6:coauthVersionLast="47" xr6:coauthVersionMax="47" xr10:uidLastSave="{03A718E0-DC5D-45F6-AC24-BE50171BB2CB}"/>
  <bookViews>
    <workbookView xWindow="-108" yWindow="-108" windowWidth="23256" windowHeight="13896" xr2:uid="{A94AAD03-8B68-4D25-ACDC-485563D823F1}"/>
  </bookViews>
  <sheets>
    <sheet name="Calculator" sheetId="1" r:id="rId1"/>
    <sheet name="Helper" sheetId="2" state="hidden" r:id="rId2"/>
  </sheets>
  <externalReferences>
    <externalReference r:id="rId3"/>
  </externalReferences>
  <definedNames>
    <definedName name="Highland_Creek">Helper!$D$3:$D$5</definedName>
    <definedName name="Skybrook">Helper!$C$3:$C$5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23" i="1" l="1"/>
  <c r="D17" i="1" s="1"/>
  <c r="Q22" i="1"/>
  <c r="D8" i="1" s="1"/>
  <c r="Q21" i="1"/>
  <c r="L21" i="1"/>
  <c r="Q20" i="1"/>
  <c r="Q19" i="1"/>
  <c r="O19" i="1"/>
  <c r="Q17" i="1"/>
  <c r="J17" i="1"/>
  <c r="E20" i="1" s="1" a="1"/>
  <c r="E20" i="1" s="1"/>
  <c r="Q16" i="1"/>
  <c r="Q15" i="1"/>
  <c r="O15" i="1"/>
  <c r="Q14" i="1"/>
  <c r="Q13" i="1"/>
  <c r="Q12" i="1"/>
  <c r="L12" i="1"/>
  <c r="Q11" i="1"/>
  <c r="O11" i="1"/>
  <c r="K11" i="1" a="1"/>
  <c r="K11" i="1" s="1"/>
  <c r="J11" i="1" a="1"/>
  <c r="J11" i="1" s="1"/>
  <c r="I11" i="1" a="1"/>
  <c r="I11" i="1" s="1"/>
  <c r="H11" i="1" a="1"/>
  <c r="H11" i="1" s="1"/>
  <c r="G11" i="1" a="1"/>
  <c r="G11" i="1" s="1"/>
  <c r="F11" i="1" a="1"/>
  <c r="F11" i="1" s="1"/>
  <c r="E11" i="1" a="1"/>
  <c r="E11" i="1" s="1"/>
  <c r="D11" i="1" a="1"/>
  <c r="D11" i="1" s="1"/>
  <c r="C11" i="1" a="1"/>
  <c r="C11" i="1" s="1"/>
  <c r="Q10" i="1"/>
  <c r="K10" i="1" a="1"/>
  <c r="K10" i="1" s="1"/>
  <c r="J10" i="1" a="1"/>
  <c r="J10" i="1" s="1"/>
  <c r="I10" i="1" a="1"/>
  <c r="I10" i="1" s="1"/>
  <c r="H10" i="1" a="1"/>
  <c r="H10" i="1" s="1"/>
  <c r="G10" i="1" a="1"/>
  <c r="G10" i="1" s="1"/>
  <c r="F10" i="1" a="1"/>
  <c r="F10" i="1" s="1"/>
  <c r="E10" i="1" a="1"/>
  <c r="E10" i="1" s="1"/>
  <c r="D10" i="1" a="1"/>
  <c r="D10" i="1" s="1"/>
  <c r="C10" i="1" a="1"/>
  <c r="C10" i="1" s="1"/>
  <c r="Q9" i="1"/>
  <c r="L2" i="1"/>
  <c r="B5" i="1" s="1"/>
  <c r="J2" i="1"/>
  <c r="B3" i="1" s="1"/>
  <c r="F19" i="1" l="1" a="1"/>
  <c r="F19" i="1" s="1"/>
  <c r="F20" i="1" a="1"/>
  <c r="F20" i="1" s="1"/>
  <c r="H20" i="1" a="1"/>
  <c r="H20" i="1" s="1"/>
  <c r="I20" i="1" a="1"/>
  <c r="I20" i="1" s="1"/>
  <c r="G19" i="1" a="1"/>
  <c r="G19" i="1" s="1"/>
  <c r="H19" i="1" a="1"/>
  <c r="H19" i="1" s="1"/>
  <c r="K19" i="1" a="1"/>
  <c r="K19" i="1" s="1"/>
  <c r="J20" i="1" a="1"/>
  <c r="J20" i="1" s="1"/>
  <c r="J22" i="1" s="1"/>
  <c r="J23" i="1" s="1"/>
  <c r="D19" i="1" a="1"/>
  <c r="D19" i="1" s="1"/>
  <c r="E19" i="1" a="1"/>
  <c r="E19" i="1" s="1"/>
  <c r="G20" i="1" a="1"/>
  <c r="G20" i="1" s="1"/>
  <c r="K20" i="1" a="1"/>
  <c r="K20" i="1" s="1"/>
  <c r="K22" i="1" s="1"/>
  <c r="K23" i="1" s="1"/>
  <c r="J19" i="1" a="1"/>
  <c r="J19" i="1" s="1"/>
  <c r="I19" i="1" a="1"/>
  <c r="I19" i="1" s="1"/>
  <c r="I14" i="1"/>
  <c r="D13" i="1"/>
  <c r="E13" i="1"/>
  <c r="J14" i="1"/>
  <c r="C13" i="1"/>
  <c r="C14" i="1" s="1"/>
  <c r="K14" i="1"/>
  <c r="I22" i="1"/>
  <c r="I23" i="1" s="1"/>
  <c r="H22" i="1"/>
  <c r="H23" i="1" s="1"/>
  <c r="G22" i="1"/>
  <c r="G23" i="1" s="1"/>
  <c r="F22" i="1"/>
  <c r="F23" i="1" s="1"/>
  <c r="E22" i="1"/>
  <c r="E23" i="1" s="1"/>
  <c r="H14" i="1"/>
  <c r="L10" i="1"/>
  <c r="M12" i="1"/>
  <c r="M21" i="1"/>
  <c r="J13" i="1"/>
  <c r="K13" i="1"/>
  <c r="F13" i="1"/>
  <c r="G13" i="1"/>
  <c r="D14" i="1"/>
  <c r="C20" i="1" a="1"/>
  <c r="C20" i="1" s="1"/>
  <c r="C22" i="1" s="1"/>
  <c r="C23" i="1" s="1"/>
  <c r="E14" i="1"/>
  <c r="F14" i="1"/>
  <c r="D20" i="1" a="1"/>
  <c r="D20" i="1" s="1"/>
  <c r="D22" i="1" s="1"/>
  <c r="D23" i="1" s="1"/>
  <c r="G14" i="1"/>
  <c r="C19" i="1" a="1"/>
  <c r="C19" i="1" s="1"/>
  <c r="L19" i="1" s="1"/>
  <c r="H13" i="1"/>
  <c r="I13" i="1"/>
  <c r="I24" i="1" l="1"/>
  <c r="J15" i="1"/>
  <c r="J24" i="1"/>
  <c r="H15" i="1"/>
  <c r="I15" i="1"/>
  <c r="K15" i="1"/>
  <c r="G15" i="1"/>
  <c r="F15" i="1"/>
  <c r="D24" i="1"/>
  <c r="K24" i="1"/>
  <c r="E24" i="1"/>
  <c r="M23" i="1"/>
  <c r="L23" i="1"/>
  <c r="H5" i="1"/>
  <c r="C24" i="1"/>
  <c r="C15" i="1"/>
  <c r="L14" i="1"/>
  <c r="F24" i="1"/>
  <c r="H3" i="1"/>
  <c r="E15" i="1"/>
  <c r="G24" i="1"/>
  <c r="M14" i="1"/>
  <c r="H24" i="1"/>
  <c r="D15" i="1"/>
  <c r="E3" i="1" l="1"/>
  <c r="F5" i="1"/>
  <c r="H4" i="1"/>
  <c r="F3" i="1"/>
  <c r="E5" i="1"/>
  <c r="G3" i="1"/>
  <c r="D3" i="1"/>
  <c r="G5" i="1"/>
  <c r="D5" i="1"/>
  <c r="H6" i="1"/>
  <c r="E6" i="1" l="1"/>
  <c r="F6" i="1"/>
  <c r="F4" i="1"/>
  <c r="G6" i="1"/>
  <c r="D6" i="1"/>
  <c r="E4" i="1"/>
  <c r="G4" i="1"/>
  <c r="D4" i="1"/>
  <c r="L3" i="1" l="1"/>
  <c r="J3" i="1"/>
</calcChain>
</file>

<file path=xl/sharedStrings.xml><?xml version="1.0" encoding="utf-8"?>
<sst xmlns="http://schemas.openxmlformats.org/spreadsheetml/2006/main" count="88" uniqueCount="48">
  <si>
    <t>Fill in the course, your name, tees, front/back and gross scores in the grey boxes</t>
  </si>
  <si>
    <t>Points</t>
  </si>
  <si>
    <t>Skybrook</t>
  </si>
  <si>
    <t>First 3</t>
  </si>
  <si>
    <t>Middle 3</t>
  </si>
  <si>
    <t>Final 3</t>
  </si>
  <si>
    <t>Overall</t>
  </si>
  <si>
    <t>Net Score</t>
  </si>
  <si>
    <t>Holes Won</t>
  </si>
  <si>
    <t>PTS</t>
  </si>
  <si>
    <t>Highland Creek</t>
  </si>
  <si>
    <t>Curtis Lynn</t>
  </si>
  <si>
    <t>Handicap:</t>
  </si>
  <si>
    <t>Tees:</t>
  </si>
  <si>
    <t>Blue</t>
  </si>
  <si>
    <t>Holes:</t>
  </si>
  <si>
    <t>Front 9</t>
  </si>
  <si>
    <t>#</t>
  </si>
  <si>
    <t>Name</t>
  </si>
  <si>
    <t>Handicap</t>
  </si>
  <si>
    <t>HC's by Tees</t>
  </si>
  <si>
    <t>Back 9</t>
  </si>
  <si>
    <t>HOLE</t>
  </si>
  <si>
    <t>Brian Wojcio</t>
  </si>
  <si>
    <t>PAR</t>
  </si>
  <si>
    <t>Ethan High</t>
  </si>
  <si>
    <t>Green</t>
  </si>
  <si>
    <t>White</t>
  </si>
  <si>
    <t>HC</t>
  </si>
  <si>
    <t>Rob Bass</t>
  </si>
  <si>
    <t>Red</t>
  </si>
  <si>
    <t>GROSS</t>
  </si>
  <si>
    <t>Carson Bass</t>
  </si>
  <si>
    <t>Par</t>
  </si>
  <si>
    <t>Strokes</t>
  </si>
  <si>
    <t>Michael McHugh</t>
  </si>
  <si>
    <t>NET</t>
  </si>
  <si>
    <t>Bruce Atkins</t>
  </si>
  <si>
    <t>Wins Hole</t>
  </si>
  <si>
    <t>Alex Palmer</t>
  </si>
  <si>
    <t>Nick Coglianese</t>
  </si>
  <si>
    <t>Ben Linck</t>
  </si>
  <si>
    <t>Charlotte Hayes</t>
  </si>
  <si>
    <t>David Maddox</t>
  </si>
  <si>
    <t>Jerome Martin</t>
  </si>
  <si>
    <t>Kaylan Adams</t>
  </si>
  <si>
    <t>Megan Serian</t>
  </si>
  <si>
    <t>Highland_Creek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</si>
</sst>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\+0;\-0;0"/>
  </numFmts>
  <fonts count="8" x14ac:knownFonts="1">
    <font>
      <sz val="10"/>
      <name val="Arial"/>
      <family val="2"/>
    </font>
    <font>
      <sz val="10"/>
      <color theme="1"/>
      <name val="Aptos"/>
      <family val="2"/>
    </font>
    <font>
      <i/>
      <sz val="10"/>
      <color rgb="FFFF0000"/>
      <name val="Aptos"/>
      <family val="2"/>
    </font>
    <font>
      <sz val="10"/>
      <name val="Arial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4">
    <xf numFmtId="0" fontId="0" fillId="0" borderId="0" xfId="0"/>
    <xf numFmtId="0" fontId="2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2" borderId="0" xfId="1" applyFill="1" applyAlignment="1">
      <alignment vertical="center"/>
    </xf>
    <xf numFmtId="0" fontId="4" fillId="0" borderId="2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5" xfId="1" applyBorder="1" applyAlignment="1">
      <alignment horizontal="right" vertical="center"/>
    </xf>
    <xf numFmtId="0" fontId="1" fillId="0" borderId="6" xfId="1" applyBorder="1" applyAlignment="1">
      <alignment horizontal="center" vertical="center"/>
    </xf>
    <xf numFmtId="0" fontId="1" fillId="0" borderId="8" xfId="1" applyBorder="1" applyAlignment="1">
      <alignment horizontal="right" vertical="center"/>
    </xf>
    <xf numFmtId="0" fontId="4" fillId="0" borderId="9" xfId="1" applyFont="1" applyBorder="1" applyAlignment="1">
      <alignment horizontal="center" vertical="center"/>
    </xf>
    <xf numFmtId="0" fontId="1" fillId="0" borderId="10" xfId="1" applyBorder="1" applyAlignment="1">
      <alignment horizontal="right" vertical="center"/>
    </xf>
    <xf numFmtId="0" fontId="1" fillId="0" borderId="12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5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4" fillId="0" borderId="0" xfId="1" applyFont="1" applyAlignment="1">
      <alignment horizontal="center"/>
    </xf>
    <xf numFmtId="0" fontId="7" fillId="0" borderId="6" xfId="1" applyFont="1" applyBorder="1" applyAlignment="1">
      <alignment horizontal="left" vertical="center"/>
    </xf>
    <xf numFmtId="0" fontId="7" fillId="0" borderId="5" xfId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7" fillId="0" borderId="7" xfId="1" applyFont="1" applyBorder="1" applyAlignment="1">
      <alignment horizontal="center" vertical="center"/>
    </xf>
    <xf numFmtId="0" fontId="1" fillId="0" borderId="15" xfId="1" applyBorder="1" applyAlignment="1">
      <alignment horizontal="center"/>
    </xf>
    <xf numFmtId="0" fontId="3" fillId="0" borderId="15" xfId="1" applyFont="1" applyBorder="1" applyAlignment="1">
      <alignment vertical="center"/>
    </xf>
    <xf numFmtId="164" fontId="3" fillId="0" borderId="15" xfId="1" applyNumberFormat="1" applyFont="1" applyBorder="1" applyAlignment="1">
      <alignment horizontal="center" vertical="center"/>
    </xf>
    <xf numFmtId="0" fontId="1" fillId="0" borderId="12" xfId="1" applyBorder="1" applyAlignment="1">
      <alignment vertical="center"/>
    </xf>
    <xf numFmtId="0" fontId="1" fillId="0" borderId="11" xfId="1" applyBorder="1" applyAlignment="1">
      <alignment horizontal="center" vertical="center"/>
    </xf>
    <xf numFmtId="0" fontId="1" fillId="0" borderId="10" xfId="1" applyBorder="1" applyAlignment="1">
      <alignment horizontal="center" vertical="center"/>
    </xf>
    <xf numFmtId="0" fontId="7" fillId="0" borderId="12" xfId="1" applyFont="1" applyBorder="1" applyAlignment="1">
      <alignment vertical="center"/>
    </xf>
    <xf numFmtId="0" fontId="7" fillId="2" borderId="10" xfId="1" applyFont="1" applyFill="1" applyBorder="1" applyAlignment="1" applyProtection="1">
      <alignment horizontal="center" vertical="center"/>
      <protection locked="0"/>
    </xf>
    <xf numFmtId="0" fontId="7" fillId="2" borderId="0" xfId="1" applyFont="1" applyFill="1" applyAlignment="1" applyProtection="1">
      <alignment horizontal="center" vertical="center"/>
      <protection locked="0"/>
    </xf>
    <xf numFmtId="0" fontId="7" fillId="2" borderId="11" xfId="1" applyFont="1" applyFill="1" applyBorder="1" applyAlignment="1" applyProtection="1">
      <alignment horizontal="center" vertical="center"/>
      <protection locked="0"/>
    </xf>
    <xf numFmtId="165" fontId="1" fillId="0" borderId="0" xfId="1" applyNumberFormat="1" applyAlignment="1">
      <alignment horizontal="center" vertical="center"/>
    </xf>
    <xf numFmtId="0" fontId="1" fillId="0" borderId="0" xfId="1" applyAlignment="1">
      <alignment horizontal="center"/>
    </xf>
    <xf numFmtId="0" fontId="1" fillId="3" borderId="0" xfId="1" applyFill="1" applyAlignment="1">
      <alignment horizontal="center" vertical="center"/>
    </xf>
    <xf numFmtId="0" fontId="4" fillId="0" borderId="9" xfId="1" applyFont="1" applyBorder="1" applyAlignment="1">
      <alignment vertical="center"/>
    </xf>
    <xf numFmtId="0" fontId="4" fillId="0" borderId="8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13" xfId="1" applyFont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1" fillId="0" borderId="0" xfId="1" applyAlignment="1">
      <alignment vertical="center"/>
    </xf>
    <xf numFmtId="0" fontId="1" fillId="0" borderId="1" xfId="1" applyBorder="1" applyAlignment="1">
      <alignment horizontal="center" vertical="center"/>
    </xf>
    <xf numFmtId="0" fontId="0" fillId="0" borderId="1" xfId="0" applyBorder="1"/>
    <xf numFmtId="0" fontId="5" fillId="3" borderId="2" xfId="1" applyFont="1" applyFill="1" applyBorder="1" applyAlignment="1">
      <alignment horizontal="center" vertical="center" wrapText="1"/>
    </xf>
    <xf numFmtId="0" fontId="0" fillId="0" borderId="3" xfId="0" applyBorder="1"/>
    <xf numFmtId="0" fontId="5" fillId="3" borderId="3" xfId="1" applyFont="1" applyFill="1" applyBorder="1" applyAlignment="1">
      <alignment horizontal="center" vertical="center" wrapText="1"/>
    </xf>
    <xf numFmtId="0" fontId="4" fillId="0" borderId="4" xfId="1" applyFont="1" applyBorder="1" applyAlignment="1">
      <alignment horizontal="center" vertical="center"/>
    </xf>
    <xf numFmtId="0" fontId="0" fillId="0" borderId="8" xfId="0" applyBorder="1"/>
    <xf numFmtId="0" fontId="6" fillId="3" borderId="2" xfId="1" applyFont="1" applyFill="1" applyBorder="1" applyAlignment="1">
      <alignment horizontal="center" vertical="center"/>
    </xf>
    <xf numFmtId="0" fontId="0" fillId="0" borderId="7" xfId="0" applyBorder="1"/>
    <xf numFmtId="0" fontId="0" fillId="0" borderId="10" xfId="0" applyBorder="1"/>
    <xf numFmtId="0" fontId="0" fillId="0" borderId="11" xfId="0" applyBorder="1"/>
    <xf numFmtId="0" fontId="0" fillId="0" borderId="13" xfId="0" applyBorder="1"/>
    <xf numFmtId="0" fontId="6" fillId="3" borderId="3" xfId="1" applyFont="1" applyFill="1" applyBorder="1" applyAlignment="1">
      <alignment horizontal="center" vertical="center"/>
    </xf>
  </cellXfs>
  <cellStyles count="2">
    <cellStyle name="Normal" xfId="0" builtinId="0"/>
    <cellStyle name="Normal 3 2" xfId="1" xr:uid="{64D002C7-EAB9-4170-909D-6BC7434A7F9C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micompanies-my.sharepoint.com/personal/ehigh_iengtobuild_com/Documents/Documents/Golf%20League/2026%20IMI%20Golf%20League.xlsx" TargetMode="External"/><Relationship Id="rId1" Type="http://schemas.openxmlformats.org/officeDocument/2006/relationships/externalLinkPath" Target="2026%20IMI%20Golf%20Leagu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ores 2024"/>
      <sheetName val="Sep 2 - 13th"/>
      <sheetName val="July 22 - Aug 2nd"/>
      <sheetName val="Aug 5 - 16th"/>
      <sheetName val="Aug 19 - 30th"/>
      <sheetName val="Schedule"/>
      <sheetName val="Course Info"/>
      <sheetName val="Scores 2026"/>
      <sheetName val="Calculator (old)"/>
      <sheetName val="Calculator"/>
      <sheetName val="Helper"/>
      <sheetName val="Sep 16 - 27th"/>
      <sheetName val="Sep 30 - Oct 11"/>
      <sheetName val="Oct 14 - 25th"/>
    </sheetNames>
    <sheetDataSet>
      <sheetData sheetId="0"/>
      <sheetData sheetId="1"/>
      <sheetData sheetId="2"/>
      <sheetData sheetId="3"/>
      <sheetData sheetId="4"/>
      <sheetData sheetId="5">
        <row r="15">
          <cell r="D15">
            <v>12</v>
          </cell>
        </row>
        <row r="16">
          <cell r="D16">
            <v>12</v>
          </cell>
        </row>
        <row r="17">
          <cell r="D17">
            <v>15</v>
          </cell>
        </row>
        <row r="18">
          <cell r="D18">
            <v>20</v>
          </cell>
        </row>
        <row r="19">
          <cell r="D19">
            <v>22</v>
          </cell>
        </row>
        <row r="20">
          <cell r="D20">
            <v>24</v>
          </cell>
        </row>
        <row r="21">
          <cell r="D21">
            <v>27</v>
          </cell>
        </row>
        <row r="22">
          <cell r="D22">
            <v>28</v>
          </cell>
        </row>
        <row r="23">
          <cell r="D23">
            <v>30</v>
          </cell>
        </row>
        <row r="25">
          <cell r="D25">
            <v>36</v>
          </cell>
        </row>
        <row r="26">
          <cell r="D26">
            <v>36</v>
          </cell>
        </row>
        <row r="27">
          <cell r="D27">
            <v>36</v>
          </cell>
        </row>
        <row r="28">
          <cell r="D28">
            <v>36</v>
          </cell>
        </row>
        <row r="29">
          <cell r="D29">
            <v>36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E9C1E-B4F8-42BE-ADD6-CFDCDE6729D4}">
  <dimension ref="B1:BG29"/>
  <sheetViews>
    <sheetView tabSelected="1" zoomScaleNormal="100" workbookViewId="0">
      <selection activeCell="J28" sqref="J28"/>
    </sheetView>
  </sheetViews>
  <sheetFormatPr defaultColWidth="9.88671875" defaultRowHeight="13.8" x14ac:dyDescent="0.25"/>
  <cols>
    <col min="1" max="1" width="2.5546875" style="2" customWidth="1"/>
    <col min="2" max="2" width="20.6640625" style="2" customWidth="1"/>
    <col min="3" max="8" width="9.88671875" style="2" customWidth="1"/>
    <col min="9" max="9" width="10.6640625" style="2" bestFit="1" customWidth="1"/>
    <col min="10" max="11" width="10.5546875" style="2" customWidth="1"/>
    <col min="12" max="13" width="10.88671875" style="2" customWidth="1"/>
    <col min="14" max="14" width="5.6640625" style="2" customWidth="1"/>
    <col min="15" max="15" width="11" style="2" bestFit="1" customWidth="1"/>
    <col min="16" max="16" width="16.5546875" style="2" bestFit="1" customWidth="1"/>
    <col min="17" max="17" width="8.88671875" style="2" bestFit="1" customWidth="1"/>
    <col min="18" max="19" width="4.5546875" style="2" customWidth="1"/>
    <col min="20" max="20" width="11" style="2" bestFit="1" customWidth="1"/>
    <col min="21" max="29" width="4" style="2" customWidth="1"/>
    <col min="30" max="30" width="10.44140625" style="2" bestFit="1" customWidth="1"/>
    <col min="31" max="39" width="4" style="2" customWidth="1"/>
    <col min="40" max="40" width="11" style="2" bestFit="1" customWidth="1"/>
    <col min="41" max="49" width="4" style="2" customWidth="1"/>
    <col min="50" max="50" width="10.44140625" style="2" bestFit="1" customWidth="1"/>
    <col min="51" max="59" width="4" style="2" customWidth="1"/>
    <col min="60" max="65" width="9.88671875" style="2" customWidth="1"/>
    <col min="66" max="16384" width="9.88671875" style="2"/>
  </cols>
  <sheetData>
    <row r="1" spans="2:59" ht="14.25" customHeight="1" thickBot="1" x14ac:dyDescent="0.3">
      <c r="B1" s="1" t="s">
        <v>0</v>
      </c>
      <c r="J1" s="41" t="s">
        <v>1</v>
      </c>
      <c r="K1" s="42"/>
      <c r="L1" s="42"/>
      <c r="M1" s="42"/>
    </row>
    <row r="2" spans="2:59" ht="24.9" customHeight="1" thickBot="1" x14ac:dyDescent="0.3">
      <c r="B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/>
      <c r="J2" s="43" t="str">
        <f>B8</f>
        <v>Megan Serian</v>
      </c>
      <c r="K2" s="44"/>
      <c r="L2" s="45" t="str">
        <f>B17</f>
        <v>Nick Coglianese</v>
      </c>
      <c r="M2" s="44"/>
    </row>
    <row r="3" spans="2:59" ht="14.25" customHeight="1" thickBot="1" x14ac:dyDescent="0.3">
      <c r="B3" s="46" t="str">
        <f>J2</f>
        <v>Megan Serian</v>
      </c>
      <c r="C3" s="6" t="s">
        <v>8</v>
      </c>
      <c r="D3" s="7">
        <f>SUM(C15:E15)</f>
        <v>1</v>
      </c>
      <c r="E3" s="7">
        <f>SUM(F15:H15)</f>
        <v>1</v>
      </c>
      <c r="F3" s="7">
        <f>SUM(I15:K15)</f>
        <v>0</v>
      </c>
      <c r="G3" s="7">
        <f>SUM(C15:K15)</f>
        <v>2</v>
      </c>
      <c r="H3" s="7">
        <f>SUM(C14:K14)</f>
        <v>50</v>
      </c>
      <c r="J3" s="48">
        <f>SUM(D4:H4)</f>
        <v>7</v>
      </c>
      <c r="K3" s="49"/>
      <c r="L3" s="53">
        <f>SUM(D6:H6)</f>
        <v>1</v>
      </c>
      <c r="M3" s="49"/>
    </row>
    <row r="4" spans="2:59" ht="14.25" customHeight="1" thickBot="1" x14ac:dyDescent="0.3">
      <c r="B4" s="47"/>
      <c r="C4" s="8" t="s">
        <v>9</v>
      </c>
      <c r="D4" s="9">
        <f>IF(D3&gt;D5,2,IF(D3=D5,1,0))</f>
        <v>2</v>
      </c>
      <c r="E4" s="9">
        <f>IF(E3&gt;E5,2,IF(E3=E5,1,0))</f>
        <v>2</v>
      </c>
      <c r="F4" s="9">
        <f>IF(F3&gt;F5,2,IF(F3=F5,1,0))</f>
        <v>1</v>
      </c>
      <c r="G4" s="9">
        <f>IF(G3&gt;G5,1,IF(G3=G5,0.5,0))</f>
        <v>1</v>
      </c>
      <c r="H4" s="9">
        <f>IF(H3&lt;H5,1,IF(H3=H5,0.5,0))</f>
        <v>1</v>
      </c>
      <c r="J4" s="50"/>
      <c r="K4" s="51"/>
      <c r="L4" s="40"/>
      <c r="M4" s="51"/>
    </row>
    <row r="5" spans="2:59" ht="14.25" customHeight="1" thickBot="1" x14ac:dyDescent="0.3">
      <c r="B5" s="46" t="str">
        <f>L2</f>
        <v>Nick Coglianese</v>
      </c>
      <c r="C5" s="10" t="s">
        <v>8</v>
      </c>
      <c r="D5" s="11">
        <f>SUM(C24:E24)</f>
        <v>0</v>
      </c>
      <c r="E5" s="11">
        <f>SUM(F24:H24)</f>
        <v>0</v>
      </c>
      <c r="F5" s="11">
        <f>SUM(I24:K24)</f>
        <v>0</v>
      </c>
      <c r="G5" s="11">
        <f>SUM(C24:K24)</f>
        <v>0</v>
      </c>
      <c r="H5" s="11">
        <f>SUM(C23:K23)</f>
        <v>53</v>
      </c>
      <c r="J5" s="47"/>
      <c r="K5" s="52"/>
      <c r="L5" s="42"/>
      <c r="M5" s="52"/>
    </row>
    <row r="6" spans="2:59" ht="14.25" customHeight="1" thickBot="1" x14ac:dyDescent="0.3">
      <c r="B6" s="47"/>
      <c r="C6" s="8" t="s">
        <v>9</v>
      </c>
      <c r="D6" s="9">
        <f>IF(D5&gt;D3,2,IF(D5=D3,1,0))</f>
        <v>0</v>
      </c>
      <c r="E6" s="9">
        <f>IF(E5&gt;E3,2,IF(E5=E3,1,0))</f>
        <v>0</v>
      </c>
      <c r="F6" s="9">
        <f>IF(F5&gt;F3,2,IF(F5=F3,1,0))</f>
        <v>1</v>
      </c>
      <c r="G6" s="9">
        <f>IF(G5&gt;G3,1,IF(G5=G3,0.5,0))</f>
        <v>0</v>
      </c>
      <c r="H6" s="9">
        <f>IF(H5&lt;H3,1,IF(H5=H3,0.5,0))</f>
        <v>0</v>
      </c>
      <c r="J6" s="12"/>
      <c r="K6" s="12"/>
      <c r="L6" s="12"/>
      <c r="M6" s="12"/>
    </row>
    <row r="7" spans="2:59" x14ac:dyDescent="0.25">
      <c r="C7" s="12"/>
      <c r="D7" s="12"/>
      <c r="E7" s="12"/>
      <c r="F7" s="12"/>
      <c r="G7" s="12"/>
      <c r="H7" s="12"/>
      <c r="I7" s="12"/>
      <c r="J7" s="12"/>
      <c r="K7" s="12"/>
      <c r="L7" s="12"/>
      <c r="T7" s="39" t="s">
        <v>2</v>
      </c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39" t="s">
        <v>10</v>
      </c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</row>
    <row r="8" spans="2:59" ht="16.5" customHeight="1" thickBot="1" x14ac:dyDescent="0.35">
      <c r="B8" s="13" t="s">
        <v>46</v>
      </c>
      <c r="C8" s="14" t="s">
        <v>12</v>
      </c>
      <c r="D8" s="12">
        <f>_xlfn.XLOOKUP(B8,$P$9:$P$23,$Q$9:$Q$23)</f>
        <v>36</v>
      </c>
      <c r="E8" s="12"/>
      <c r="F8" s="12" t="s">
        <v>13</v>
      </c>
      <c r="G8" s="15" t="s">
        <v>30</v>
      </c>
      <c r="H8" s="12"/>
      <c r="I8" s="12" t="s">
        <v>15</v>
      </c>
      <c r="J8" s="16" t="s">
        <v>16</v>
      </c>
      <c r="K8" s="12"/>
      <c r="L8" s="12"/>
      <c r="O8" s="17" t="s">
        <v>17</v>
      </c>
      <c r="P8" s="17" t="s">
        <v>18</v>
      </c>
      <c r="Q8" s="17" t="s">
        <v>19</v>
      </c>
      <c r="T8" s="2" t="s">
        <v>20</v>
      </c>
      <c r="U8" s="39" t="s">
        <v>16</v>
      </c>
      <c r="V8" s="40"/>
      <c r="W8" s="40"/>
      <c r="X8" s="40"/>
      <c r="Y8" s="40"/>
      <c r="Z8" s="40"/>
      <c r="AA8" s="40"/>
      <c r="AB8" s="40"/>
      <c r="AC8" s="40"/>
      <c r="AD8" s="39" t="s">
        <v>21</v>
      </c>
      <c r="AE8" s="40"/>
      <c r="AF8" s="40"/>
      <c r="AG8" s="40"/>
      <c r="AH8" s="40"/>
      <c r="AI8" s="40"/>
      <c r="AJ8" s="40"/>
      <c r="AK8" s="40"/>
      <c r="AL8" s="40"/>
      <c r="AM8" s="40"/>
      <c r="AN8" s="2" t="s">
        <v>20</v>
      </c>
      <c r="AO8" s="39" t="s">
        <v>16</v>
      </c>
      <c r="AP8" s="40"/>
      <c r="AQ8" s="40"/>
      <c r="AR8" s="40"/>
      <c r="AS8" s="40"/>
      <c r="AT8" s="40"/>
      <c r="AU8" s="40"/>
      <c r="AV8" s="40"/>
      <c r="AW8" s="40"/>
      <c r="AX8" s="39" t="s">
        <v>21</v>
      </c>
      <c r="AY8" s="40"/>
      <c r="AZ8" s="40"/>
      <c r="BA8" s="40"/>
      <c r="BB8" s="40"/>
      <c r="BC8" s="40"/>
      <c r="BD8" s="40"/>
      <c r="BE8" s="40"/>
      <c r="BF8" s="40"/>
      <c r="BG8" s="40"/>
    </row>
    <row r="9" spans="2:59" ht="15" customHeight="1" x14ac:dyDescent="0.3">
      <c r="B9" s="18" t="s">
        <v>22</v>
      </c>
      <c r="C9" s="19">
        <v>1</v>
      </c>
      <c r="D9" s="20">
        <v>2</v>
      </c>
      <c r="E9" s="21">
        <v>3</v>
      </c>
      <c r="F9" s="19">
        <v>4</v>
      </c>
      <c r="G9" s="20">
        <v>5</v>
      </c>
      <c r="H9" s="21">
        <v>6</v>
      </c>
      <c r="I9" s="19">
        <v>7</v>
      </c>
      <c r="J9" s="20">
        <v>8</v>
      </c>
      <c r="K9" s="21">
        <v>9</v>
      </c>
      <c r="L9" s="12"/>
      <c r="O9" s="22">
        <v>1</v>
      </c>
      <c r="P9" s="23" t="s">
        <v>23</v>
      </c>
      <c r="Q9" s="24">
        <f>[1]Schedule!D15</f>
        <v>12</v>
      </c>
      <c r="T9" s="2" t="s">
        <v>14</v>
      </c>
      <c r="U9" s="12">
        <v>7</v>
      </c>
      <c r="V9" s="12">
        <v>15</v>
      </c>
      <c r="W9" s="12">
        <v>5</v>
      </c>
      <c r="X9" s="12">
        <v>13</v>
      </c>
      <c r="Y9" s="12">
        <v>3</v>
      </c>
      <c r="Z9" s="12">
        <v>11</v>
      </c>
      <c r="AA9" s="12">
        <v>17</v>
      </c>
      <c r="AB9" s="12">
        <v>9</v>
      </c>
      <c r="AC9" s="12">
        <v>1</v>
      </c>
      <c r="AD9" s="2" t="s">
        <v>14</v>
      </c>
      <c r="AE9" s="12">
        <v>4</v>
      </c>
      <c r="AF9" s="12">
        <v>12</v>
      </c>
      <c r="AG9" s="12">
        <v>14</v>
      </c>
      <c r="AH9" s="12">
        <v>6</v>
      </c>
      <c r="AI9" s="12">
        <v>16</v>
      </c>
      <c r="AJ9" s="12">
        <v>8</v>
      </c>
      <c r="AK9" s="12">
        <v>18</v>
      </c>
      <c r="AL9" s="12">
        <v>2</v>
      </c>
      <c r="AM9" s="12">
        <v>10</v>
      </c>
      <c r="AN9" s="2" t="s">
        <v>14</v>
      </c>
      <c r="AO9" s="12">
        <v>7</v>
      </c>
      <c r="AP9" s="12">
        <v>17</v>
      </c>
      <c r="AQ9" s="12">
        <v>15</v>
      </c>
      <c r="AR9" s="12">
        <v>1</v>
      </c>
      <c r="AS9" s="12">
        <v>11</v>
      </c>
      <c r="AT9" s="12">
        <v>9</v>
      </c>
      <c r="AU9" s="12">
        <v>13</v>
      </c>
      <c r="AV9" s="12">
        <v>5</v>
      </c>
      <c r="AW9" s="12">
        <v>3</v>
      </c>
      <c r="AX9" s="2" t="s">
        <v>14</v>
      </c>
      <c r="AY9" s="12">
        <v>14</v>
      </c>
      <c r="AZ9" s="12">
        <v>8</v>
      </c>
      <c r="BA9" s="12">
        <v>6</v>
      </c>
      <c r="BB9" s="12">
        <v>4</v>
      </c>
      <c r="BC9" s="12">
        <v>16</v>
      </c>
      <c r="BD9" s="12">
        <v>2</v>
      </c>
      <c r="BE9" s="12">
        <v>10</v>
      </c>
      <c r="BF9" s="12">
        <v>12</v>
      </c>
      <c r="BG9" s="12">
        <v>18</v>
      </c>
    </row>
    <row r="10" spans="2:59" x14ac:dyDescent="0.3">
      <c r="B10" s="25" t="s">
        <v>24</v>
      </c>
      <c r="C10" s="12">
        <f t="array" ref="C10">IF($B$2="Skybrook",
   _xlfn.IFS(
      $J8="Back 9",INDEX($AE$12:$AM$12,1,C9),
      $J8="Front 9",INDEX($U$12:$AC$12,1,C9)
   ),
   _xlfn.IFS(
      $J8="Back 9",INDEX($AY$12:$BG$12,1,C9),
      $J8="Front 9",INDEX($AO$12:$AW$12,1,C9)
   )
)</f>
        <v>4</v>
      </c>
      <c r="D10" s="12">
        <f t="array" ref="D10">IF($B$2="Skybrook",
   _xlfn.IFS(
      $J8="Back 9",INDEX($AE$12:$AM$12,1,D9),
      $J8="Front 9",INDEX($U$12:$AC$12,1,D9)
   ),
   _xlfn.IFS(
      $J8="Back 9",INDEX($AY$12:$BG$12,1,D9),
      $J8="Front 9",INDEX($AO$12:$AW$12,1,D9)
   )
)</f>
        <v>3</v>
      </c>
      <c r="E10" s="26">
        <f t="array" ref="E10">IF($B$2="Skybrook",
   _xlfn.IFS(
      $J8="Back 9",INDEX($AE$12:$AM$12,1,E9),
      $J8="Front 9",INDEX($U$12:$AC$12,1,E9)
   ),
   _xlfn.IFS(
      $J8="Back 9",INDEX($AY$12:$BG$12,1,E9),
      $J8="Front 9",INDEX($AO$12:$AW$12,1,E9)
   )
)</f>
        <v>4</v>
      </c>
      <c r="F10" s="27">
        <f t="array" ref="F10">IF($B$2="Skybrook",
   _xlfn.IFS(
      $J8="Back 9",INDEX($AE$12:$AM$12,1,F9),
      $J8="Front 9",INDEX($U$12:$AC$12,1,F9)
   ),
   _xlfn.IFS(
      $J8="Back 9",INDEX($AY$12:$BG$12,1,F9),
      $J8="Front 9",INDEX($AO$12:$AW$12,1,F9)
   )
)</f>
        <v>5</v>
      </c>
      <c r="G10" s="12">
        <f t="array" ref="G10">IF($B$2="Skybrook",
   _xlfn.IFS(
      $J8="Back 9",INDEX($AE$12:$AM$12,1,G9),
      $J8="Front 9",INDEX($U$12:$AC$12,1,G9)
   ),
   _xlfn.IFS(
      $J8="Back 9",INDEX($AY$12:$BG$12,1,G9),
      $J8="Front 9",INDEX($AO$12:$AW$12,1,G9)
   )
)</f>
        <v>4</v>
      </c>
      <c r="H10" s="26">
        <f t="array" ref="H10">IF($B$2="Skybrook",
   _xlfn.IFS(
      $J8="Back 9",INDEX($AE$12:$AM$12,1,H9),
      $J8="Front 9",INDEX($U$12:$AC$12,1,H9)
   ),
   _xlfn.IFS(
      $J8="Back 9",INDEX($AY$12:$BG$12,1,H9),
      $J8="Front 9",INDEX($AO$12:$AW$12,1,H9)
   )
)</f>
        <v>4</v>
      </c>
      <c r="I10" s="27">
        <f t="array" ref="I10">IF($B$2="Skybrook",
   _xlfn.IFS(
      $J8="Back 9",INDEX($AE$12:$AM$12,1,I9),
      $J8="Front 9",INDEX($U$12:$AC$12,1,I9)
   ),
   _xlfn.IFS(
      $J8="Back 9",INDEX($AY$12:$BG$12,1,I9),
      $J8="Front 9",INDEX($AO$12:$AW$12,1,I9)
   )
)</f>
        <v>3</v>
      </c>
      <c r="J10" s="12">
        <f t="array" ref="J10">IF($B$2="Skybrook",
   _xlfn.IFS(
      $J8="Back 9",INDEX($AE$12:$AM$12,1,J9),
      $J8="Front 9",INDEX($U$12:$AC$12,1,J9)
   ),
   _xlfn.IFS(
      $J8="Back 9",INDEX($AY$12:$BG$12,1,J9),
      $J8="Front 9",INDEX($AO$12:$AW$12,1,J9)
   )
)</f>
        <v>5</v>
      </c>
      <c r="K10" s="26">
        <f t="array" ref="K10">IF($B$2="Skybrook",
   _xlfn.IFS(
      $J8="Back 9",INDEX($AE$12:$AM$12,1,K9),
      $J8="Front 9",INDEX($U$12:$AC$12,1,K9)
   ),
   _xlfn.IFS(
      $J8="Back 9",INDEX($AY$12:$BG$12,1,K9),
      $J8="Front 9",INDEX($AO$12:$AW$12,1,K9)
   )
)</f>
        <v>4</v>
      </c>
      <c r="L10" s="12">
        <f>SUM(C10:K10)</f>
        <v>36</v>
      </c>
      <c r="O10" s="22">
        <v>2</v>
      </c>
      <c r="P10" s="23" t="s">
        <v>25</v>
      </c>
      <c r="Q10" s="24">
        <f>[1]Schedule!D16</f>
        <v>12</v>
      </c>
      <c r="T10" s="2" t="s">
        <v>26</v>
      </c>
      <c r="U10" s="12">
        <v>7</v>
      </c>
      <c r="V10" s="12">
        <v>15</v>
      </c>
      <c r="W10" s="12">
        <v>5</v>
      </c>
      <c r="X10" s="12">
        <v>13</v>
      </c>
      <c r="Y10" s="12">
        <v>3</v>
      </c>
      <c r="Z10" s="12">
        <v>11</v>
      </c>
      <c r="AA10" s="12">
        <v>17</v>
      </c>
      <c r="AB10" s="12">
        <v>9</v>
      </c>
      <c r="AC10" s="12">
        <v>1</v>
      </c>
      <c r="AD10" s="2" t="s">
        <v>26</v>
      </c>
      <c r="AE10" s="12">
        <v>4</v>
      </c>
      <c r="AF10" s="12">
        <v>12</v>
      </c>
      <c r="AG10" s="12">
        <v>14</v>
      </c>
      <c r="AH10" s="12">
        <v>6</v>
      </c>
      <c r="AI10" s="12">
        <v>16</v>
      </c>
      <c r="AJ10" s="12">
        <v>8</v>
      </c>
      <c r="AK10" s="12">
        <v>18</v>
      </c>
      <c r="AL10" s="12">
        <v>2</v>
      </c>
      <c r="AM10" s="12">
        <v>10</v>
      </c>
      <c r="AN10" s="2" t="s">
        <v>27</v>
      </c>
      <c r="AO10" s="12">
        <v>7</v>
      </c>
      <c r="AP10" s="12">
        <v>17</v>
      </c>
      <c r="AQ10" s="12">
        <v>15</v>
      </c>
      <c r="AR10" s="12">
        <v>1</v>
      </c>
      <c r="AS10" s="12">
        <v>11</v>
      </c>
      <c r="AT10" s="12">
        <v>9</v>
      </c>
      <c r="AU10" s="12">
        <v>13</v>
      </c>
      <c r="AV10" s="12">
        <v>5</v>
      </c>
      <c r="AW10" s="12">
        <v>3</v>
      </c>
      <c r="AX10" s="2" t="s">
        <v>27</v>
      </c>
      <c r="AY10" s="12">
        <v>14</v>
      </c>
      <c r="AZ10" s="12">
        <v>8</v>
      </c>
      <c r="BA10" s="12">
        <v>6</v>
      </c>
      <c r="BB10" s="12">
        <v>4</v>
      </c>
      <c r="BC10" s="12">
        <v>16</v>
      </c>
      <c r="BD10" s="12">
        <v>2</v>
      </c>
      <c r="BE10" s="12">
        <v>10</v>
      </c>
      <c r="BF10" s="12">
        <v>12</v>
      </c>
      <c r="BG10" s="12">
        <v>18</v>
      </c>
    </row>
    <row r="11" spans="2:59" x14ac:dyDescent="0.3">
      <c r="B11" s="25" t="s">
        <v>28</v>
      </c>
      <c r="C11" s="12">
        <f t="array" ref="C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17</v>
      </c>
      <c r="D11" s="12">
        <f t="array" ref="D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9</v>
      </c>
      <c r="E11" s="26">
        <f t="array" ref="E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5</v>
      </c>
      <c r="F11" s="27">
        <f t="array" ref="F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7</v>
      </c>
      <c r="G11" s="12">
        <f t="array" ref="G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3</v>
      </c>
      <c r="H11" s="26">
        <f t="array" ref="H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15</v>
      </c>
      <c r="I11" s="27">
        <f t="array" ref="I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11</v>
      </c>
      <c r="J11" s="12">
        <f t="array" ref="J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13</v>
      </c>
      <c r="K11" s="26">
        <f t="array" ref="K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</v>
      </c>
      <c r="L11" s="12"/>
      <c r="O11" s="22">
        <f>O10+1</f>
        <v>3</v>
      </c>
      <c r="P11" s="23" t="s">
        <v>29</v>
      </c>
      <c r="Q11" s="24">
        <f>[1]Schedule!D17</f>
        <v>15</v>
      </c>
      <c r="T11" s="2" t="s">
        <v>30</v>
      </c>
      <c r="U11" s="12">
        <v>17</v>
      </c>
      <c r="V11" s="12">
        <v>9</v>
      </c>
      <c r="W11" s="12">
        <v>5</v>
      </c>
      <c r="X11" s="12">
        <v>7</v>
      </c>
      <c r="Y11" s="12">
        <v>3</v>
      </c>
      <c r="Z11" s="12">
        <v>15</v>
      </c>
      <c r="AA11" s="12">
        <v>11</v>
      </c>
      <c r="AB11" s="12">
        <v>13</v>
      </c>
      <c r="AC11" s="12">
        <v>1</v>
      </c>
      <c r="AD11" s="2" t="s">
        <v>30</v>
      </c>
      <c r="AE11" s="12">
        <v>4</v>
      </c>
      <c r="AF11" s="12">
        <v>10</v>
      </c>
      <c r="AG11" s="12">
        <v>14</v>
      </c>
      <c r="AH11" s="12">
        <v>6</v>
      </c>
      <c r="AI11" s="12">
        <v>16</v>
      </c>
      <c r="AJ11" s="12">
        <v>12</v>
      </c>
      <c r="AK11" s="12">
        <v>18</v>
      </c>
      <c r="AL11" s="12">
        <v>2</v>
      </c>
      <c r="AM11" s="12">
        <v>8</v>
      </c>
      <c r="AN11" s="2" t="s">
        <v>30</v>
      </c>
      <c r="AO11" s="12">
        <v>7</v>
      </c>
      <c r="AP11" s="12">
        <v>17</v>
      </c>
      <c r="AQ11" s="12">
        <v>15</v>
      </c>
      <c r="AR11" s="12">
        <v>1</v>
      </c>
      <c r="AS11" s="12">
        <v>11</v>
      </c>
      <c r="AT11" s="12">
        <v>9</v>
      </c>
      <c r="AU11" s="12">
        <v>13</v>
      </c>
      <c r="AV11" s="12">
        <v>5</v>
      </c>
      <c r="AW11" s="12">
        <v>3</v>
      </c>
      <c r="AX11" s="2" t="s">
        <v>30</v>
      </c>
      <c r="AY11" s="12">
        <v>14</v>
      </c>
      <c r="AZ11" s="12">
        <v>8</v>
      </c>
      <c r="BA11" s="12">
        <v>6</v>
      </c>
      <c r="BB11" s="12">
        <v>4</v>
      </c>
      <c r="BC11" s="12">
        <v>16</v>
      </c>
      <c r="BD11" s="12">
        <v>2</v>
      </c>
      <c r="BE11" s="12">
        <v>10</v>
      </c>
      <c r="BF11" s="12">
        <v>12</v>
      </c>
      <c r="BG11" s="12">
        <v>18</v>
      </c>
    </row>
    <row r="12" spans="2:59" ht="15" customHeight="1" x14ac:dyDescent="0.3">
      <c r="B12" s="28" t="s">
        <v>31</v>
      </c>
      <c r="C12" s="29">
        <v>6</v>
      </c>
      <c r="D12" s="30">
        <v>6</v>
      </c>
      <c r="E12" s="31">
        <v>8</v>
      </c>
      <c r="F12" s="29">
        <v>9</v>
      </c>
      <c r="G12" s="30">
        <v>8</v>
      </c>
      <c r="H12" s="31">
        <v>8</v>
      </c>
      <c r="I12" s="29">
        <v>6</v>
      </c>
      <c r="J12" s="30">
        <v>9</v>
      </c>
      <c r="K12" s="31">
        <v>8</v>
      </c>
      <c r="L12" s="12">
        <f>SUM(C12:K12)</f>
        <v>68</v>
      </c>
      <c r="M12" s="32">
        <f>SUM(C12:K12)-SUM(C$10:K$10)</f>
        <v>32</v>
      </c>
      <c r="O12" s="22">
        <v>4</v>
      </c>
      <c r="P12" s="23" t="s">
        <v>32</v>
      </c>
      <c r="Q12" s="24">
        <f>[1]Schedule!D18</f>
        <v>20</v>
      </c>
      <c r="T12" s="2" t="s">
        <v>33</v>
      </c>
      <c r="U12" s="33">
        <v>4</v>
      </c>
      <c r="V12" s="33">
        <v>3</v>
      </c>
      <c r="W12" s="33">
        <v>4</v>
      </c>
      <c r="X12" s="33">
        <v>5</v>
      </c>
      <c r="Y12" s="33">
        <v>4</v>
      </c>
      <c r="Z12" s="33">
        <v>4</v>
      </c>
      <c r="AA12" s="33">
        <v>3</v>
      </c>
      <c r="AB12" s="33">
        <v>5</v>
      </c>
      <c r="AC12" s="33">
        <v>4</v>
      </c>
      <c r="AD12" s="2" t="s">
        <v>33</v>
      </c>
      <c r="AE12" s="33">
        <v>4</v>
      </c>
      <c r="AF12" s="33">
        <v>5</v>
      </c>
      <c r="AG12" s="33">
        <v>4</v>
      </c>
      <c r="AH12" s="33">
        <v>4</v>
      </c>
      <c r="AI12" s="33">
        <v>3</v>
      </c>
      <c r="AJ12" s="33">
        <v>4</v>
      </c>
      <c r="AK12" s="33">
        <v>3</v>
      </c>
      <c r="AL12" s="33">
        <v>4</v>
      </c>
      <c r="AM12" s="33">
        <v>5</v>
      </c>
      <c r="AN12" s="2" t="s">
        <v>33</v>
      </c>
      <c r="AO12" s="33">
        <v>4</v>
      </c>
      <c r="AP12" s="33">
        <v>5</v>
      </c>
      <c r="AQ12" s="33">
        <v>3</v>
      </c>
      <c r="AR12" s="33">
        <v>4</v>
      </c>
      <c r="AS12" s="33">
        <v>4</v>
      </c>
      <c r="AT12" s="33">
        <v>3</v>
      </c>
      <c r="AU12" s="33">
        <v>5</v>
      </c>
      <c r="AV12" s="33">
        <v>4</v>
      </c>
      <c r="AW12" s="33">
        <v>4</v>
      </c>
      <c r="AX12" s="2" t="s">
        <v>33</v>
      </c>
      <c r="AY12" s="33">
        <v>4</v>
      </c>
      <c r="AZ12" s="33">
        <v>3</v>
      </c>
      <c r="BA12" s="33">
        <v>5</v>
      </c>
      <c r="BB12" s="33">
        <v>4</v>
      </c>
      <c r="BC12" s="33">
        <v>4</v>
      </c>
      <c r="BD12" s="33">
        <v>4</v>
      </c>
      <c r="BE12" s="33">
        <v>4</v>
      </c>
      <c r="BF12" s="33">
        <v>3</v>
      </c>
      <c r="BG12" s="33">
        <v>5</v>
      </c>
    </row>
    <row r="13" spans="2:59" x14ac:dyDescent="0.3">
      <c r="B13" s="25" t="s">
        <v>34</v>
      </c>
      <c r="C13" s="27">
        <f t="shared" ref="C13:K13" si="0">INT($D$8/18)+IF(C11&lt;=MOD($D$8,18),1,0)</f>
        <v>2</v>
      </c>
      <c r="D13" s="12">
        <f t="shared" si="0"/>
        <v>2</v>
      </c>
      <c r="E13" s="26">
        <f t="shared" si="0"/>
        <v>2</v>
      </c>
      <c r="F13" s="27">
        <f t="shared" si="0"/>
        <v>2</v>
      </c>
      <c r="G13" s="12">
        <f t="shared" si="0"/>
        <v>2</v>
      </c>
      <c r="H13" s="26">
        <f t="shared" si="0"/>
        <v>2</v>
      </c>
      <c r="I13" s="27">
        <f t="shared" si="0"/>
        <v>2</v>
      </c>
      <c r="J13" s="12">
        <f t="shared" si="0"/>
        <v>2</v>
      </c>
      <c r="K13" s="26">
        <f t="shared" si="0"/>
        <v>2</v>
      </c>
      <c r="L13" s="32"/>
      <c r="O13" s="22">
        <v>5</v>
      </c>
      <c r="P13" s="23" t="s">
        <v>35</v>
      </c>
      <c r="Q13" s="24">
        <f>[1]Schedule!D19</f>
        <v>22</v>
      </c>
    </row>
    <row r="14" spans="2:59" x14ac:dyDescent="0.3">
      <c r="B14" s="25" t="s">
        <v>36</v>
      </c>
      <c r="C14" s="27">
        <f>C12-C13</f>
        <v>4</v>
      </c>
      <c r="D14" s="12">
        <f t="shared" ref="D14:K14" si="1">D12-INT($D$8/18)-IF(D11&lt;=MOD($D$8,18),1,0)</f>
        <v>4</v>
      </c>
      <c r="E14" s="26">
        <f t="shared" si="1"/>
        <v>6</v>
      </c>
      <c r="F14" s="27">
        <f t="shared" si="1"/>
        <v>7</v>
      </c>
      <c r="G14" s="12">
        <f t="shared" si="1"/>
        <v>6</v>
      </c>
      <c r="H14" s="26">
        <f t="shared" si="1"/>
        <v>6</v>
      </c>
      <c r="I14" s="27">
        <f t="shared" si="1"/>
        <v>4</v>
      </c>
      <c r="J14" s="12">
        <f t="shared" si="1"/>
        <v>7</v>
      </c>
      <c r="K14" s="26">
        <f t="shared" si="1"/>
        <v>6</v>
      </c>
      <c r="L14" s="34">
        <f>SUM(C14:K14)</f>
        <v>50</v>
      </c>
      <c r="M14" s="32">
        <f>SUM(C14:K14)-SUM(C$10:K$10)</f>
        <v>14</v>
      </c>
      <c r="O14" s="22">
        <v>6</v>
      </c>
      <c r="P14" s="23" t="s">
        <v>37</v>
      </c>
      <c r="Q14" s="24">
        <f>[1]Schedule!D20</f>
        <v>24</v>
      </c>
    </row>
    <row r="15" spans="2:59" ht="14.25" customHeight="1" thickBot="1" x14ac:dyDescent="0.35">
      <c r="B15" s="35" t="s">
        <v>38</v>
      </c>
      <c r="C15" s="36">
        <f t="shared" ref="C15:K15" si="2">IF(C14&lt;C23,1,0)</f>
        <v>1</v>
      </c>
      <c r="D15" s="37">
        <f t="shared" si="2"/>
        <v>0</v>
      </c>
      <c r="E15" s="38">
        <f t="shared" si="2"/>
        <v>0</v>
      </c>
      <c r="F15" s="36">
        <f t="shared" si="2"/>
        <v>1</v>
      </c>
      <c r="G15" s="37">
        <f t="shared" si="2"/>
        <v>0</v>
      </c>
      <c r="H15" s="38">
        <f t="shared" si="2"/>
        <v>0</v>
      </c>
      <c r="I15" s="36">
        <f t="shared" si="2"/>
        <v>0</v>
      </c>
      <c r="J15" s="37">
        <f t="shared" si="2"/>
        <v>0</v>
      </c>
      <c r="K15" s="38">
        <f t="shared" si="2"/>
        <v>0</v>
      </c>
      <c r="L15" s="12"/>
      <c r="O15" s="22">
        <f>O14+1</f>
        <v>7</v>
      </c>
      <c r="P15" s="23" t="s">
        <v>39</v>
      </c>
      <c r="Q15" s="24">
        <f>[1]Schedule!D21</f>
        <v>27</v>
      </c>
    </row>
    <row r="16" spans="2:59" x14ac:dyDescent="0.3">
      <c r="C16" s="12"/>
      <c r="D16" s="12"/>
      <c r="E16" s="12"/>
      <c r="F16" s="12"/>
      <c r="G16" s="12"/>
      <c r="H16" s="12"/>
      <c r="I16" s="12"/>
      <c r="J16" s="12"/>
      <c r="K16" s="12"/>
      <c r="L16" s="12"/>
      <c r="O16" s="22">
        <v>8</v>
      </c>
      <c r="P16" s="23" t="s">
        <v>11</v>
      </c>
      <c r="Q16" s="24">
        <f>[1]Schedule!D22</f>
        <v>28</v>
      </c>
    </row>
    <row r="17" spans="2:42" ht="16.5" customHeight="1" thickBot="1" x14ac:dyDescent="0.35">
      <c r="B17" s="13" t="s">
        <v>40</v>
      </c>
      <c r="C17" s="14" t="s">
        <v>12</v>
      </c>
      <c r="D17" s="12">
        <f>_xlfn.XLOOKUP(B17,$P$9:$P$23,$Q$9:$Q$23)</f>
        <v>36</v>
      </c>
      <c r="E17" s="12"/>
      <c r="F17" s="12" t="s">
        <v>13</v>
      </c>
      <c r="G17" s="15" t="s">
        <v>14</v>
      </c>
      <c r="H17" s="12"/>
      <c r="I17" s="12" t="s">
        <v>15</v>
      </c>
      <c r="J17" s="12" t="str">
        <f>J8</f>
        <v>Front 9</v>
      </c>
      <c r="K17" s="12"/>
      <c r="L17" s="12"/>
      <c r="O17" s="22">
        <v>9</v>
      </c>
      <c r="P17" s="23" t="s">
        <v>41</v>
      </c>
      <c r="Q17" s="24">
        <f>[1]Schedule!D23</f>
        <v>30</v>
      </c>
    </row>
    <row r="18" spans="2:42" ht="15" customHeight="1" x14ac:dyDescent="0.3">
      <c r="B18" s="18" t="s">
        <v>22</v>
      </c>
      <c r="C18" s="19">
        <v>1</v>
      </c>
      <c r="D18" s="20">
        <v>2</v>
      </c>
      <c r="E18" s="21">
        <v>3</v>
      </c>
      <c r="F18" s="19">
        <v>4</v>
      </c>
      <c r="G18" s="20">
        <v>5</v>
      </c>
      <c r="H18" s="21">
        <v>6</v>
      </c>
      <c r="I18" s="19">
        <v>7</v>
      </c>
      <c r="J18" s="20">
        <v>8</v>
      </c>
      <c r="K18" s="21">
        <v>9</v>
      </c>
      <c r="L18" s="12"/>
      <c r="M18" s="32"/>
      <c r="O18" s="22">
        <v>10</v>
      </c>
      <c r="P18" s="23" t="s">
        <v>42</v>
      </c>
      <c r="Q18" s="24">
        <v>20</v>
      </c>
    </row>
    <row r="19" spans="2:42" x14ac:dyDescent="0.3">
      <c r="B19" s="25" t="s">
        <v>24</v>
      </c>
      <c r="C19" s="12">
        <f t="array" ref="C19">IF($B$2="Skybrook",
   _xlfn.IFS(
      $J17="Back 9",INDEX($AE$12:$AM$12,1,C18),
      $J17="Front 9",INDEX($U$12:$AC$12,1,C18)
   ),
   _xlfn.IFS(
      $J17="Back 9",INDEX($AY$12:$BG$12,1,C18),
      $J17="Front 9",INDEX($AO$12:$AW$12,1,C18)
   )
)</f>
        <v>4</v>
      </c>
      <c r="D19" s="12">
        <f t="array" ref="D19">IF($B$2="Skybrook",
   _xlfn.IFS(
      $J17="Back 9",INDEX($AE$12:$AM$12,1,D18),
      $J17="Front 9",INDEX($U$12:$AC$12,1,D18)
   ),
   _xlfn.IFS(
      $J17="Back 9",INDEX($AY$12:$BG$12,1,D18),
      $J17="Front 9",INDEX($AO$12:$AW$12,1,D18)
   )
)</f>
        <v>3</v>
      </c>
      <c r="E19" s="26">
        <f t="array" ref="E19">IF($B$2="Skybrook",
   _xlfn.IFS(
      $J17="Back 9",INDEX($AE$12:$AM$12,1,E18),
      $J17="Front 9",INDEX($U$12:$AC$12,1,E18)
   ),
   _xlfn.IFS(
      $J17="Back 9",INDEX($AY$12:$BG$12,1,E18),
      $J17="Front 9",INDEX($AO$12:$AW$12,1,E18)
   )
)</f>
        <v>4</v>
      </c>
      <c r="F19" s="27">
        <f t="array" ref="F19">IF($B$2="Skybrook",
   _xlfn.IFS(
      $J17="Back 9",INDEX($AE$12:$AM$12,1,F18),
      $J17="Front 9",INDEX($U$12:$AC$12,1,F18)
   ),
   _xlfn.IFS(
      $J17="Back 9",INDEX($AY$12:$BG$12,1,F18),
      $J17="Front 9",INDEX($AO$12:$AW$12,1,F18)
   )
)</f>
        <v>5</v>
      </c>
      <c r="G19" s="12">
        <f t="array" ref="G19">IF($B$2="Skybrook",
   _xlfn.IFS(
      $J17="Back 9",INDEX($AE$12:$AM$12,1,G18),
      $J17="Front 9",INDEX($U$12:$AC$12,1,G18)
   ),
   _xlfn.IFS(
      $J17="Back 9",INDEX($AY$12:$BG$12,1,G18),
      $J17="Front 9",INDEX($AO$12:$AW$12,1,G18)
   )
)</f>
        <v>4</v>
      </c>
      <c r="H19" s="26">
        <f t="array" ref="H19">IF($B$2="Skybrook",
   _xlfn.IFS(
      $J17="Back 9",INDEX($AE$12:$AM$12,1,H18),
      $J17="Front 9",INDEX($U$12:$AC$12,1,H18)
   ),
   _xlfn.IFS(
      $J17="Back 9",INDEX($AY$12:$BG$12,1,H18),
      $J17="Front 9",INDEX($AO$12:$AW$12,1,H18)
   )
)</f>
        <v>4</v>
      </c>
      <c r="I19" s="27">
        <f t="array" ref="I19">IF($B$2="Skybrook",
   _xlfn.IFS(
      $J17="Back 9",INDEX($AE$12:$AM$12,1,I18),
      $J17="Front 9",INDEX($U$12:$AC$12,1,I18)
   ),
   _xlfn.IFS(
      $J17="Back 9",INDEX($AY$12:$BG$12,1,I18),
      $J17="Front 9",INDEX($AO$12:$AW$12,1,I18)
   )
)</f>
        <v>3</v>
      </c>
      <c r="J19" s="12">
        <f t="array" ref="J19">IF($B$2="Skybrook",
   _xlfn.IFS(
      $J17="Back 9",INDEX($AE$12:$AM$12,1,J18),
      $J17="Front 9",INDEX($U$12:$AC$12,1,J18)
   ),
   _xlfn.IFS(
      $J17="Back 9",INDEX($AY$12:$BG$12,1,J18),
      $J17="Front 9",INDEX($AO$12:$AW$12,1,J18)
   )
)</f>
        <v>5</v>
      </c>
      <c r="K19" s="26">
        <f t="array" ref="K19">IF($B$2="Skybrook",
   _xlfn.IFS(
      $J17="Back 9",INDEX($AE$12:$AM$12,1,K18),
      $J17="Front 9",INDEX($U$12:$AC$12,1,K18)
   ),
   _xlfn.IFS(
      $J17="Back 9",INDEX($AY$12:$BG$12,1,K18),
      $J17="Front 9",INDEX($AO$12:$AW$12,1,K18)
   )
)</f>
        <v>4</v>
      </c>
      <c r="L19" s="12">
        <f>SUM(C19:K19)</f>
        <v>36</v>
      </c>
      <c r="O19" s="22">
        <f>O18+1</f>
        <v>11</v>
      </c>
      <c r="P19" s="23" t="s">
        <v>43</v>
      </c>
      <c r="Q19" s="24">
        <f>[1]Schedule!D25</f>
        <v>36</v>
      </c>
    </row>
    <row r="20" spans="2:42" x14ac:dyDescent="0.3">
      <c r="B20" s="25" t="s">
        <v>28</v>
      </c>
      <c r="C20" s="12">
        <f t="array" ref="C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7</v>
      </c>
      <c r="D20" s="12">
        <f t="array" ref="D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15</v>
      </c>
      <c r="E20" s="26">
        <f t="array" ref="E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5</v>
      </c>
      <c r="F20" s="27">
        <f t="array" ref="F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13</v>
      </c>
      <c r="G20" s="12">
        <f t="array" ref="G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3</v>
      </c>
      <c r="H20" s="26">
        <f t="array" ref="H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11</v>
      </c>
      <c r="I20" s="27">
        <f t="array" ref="I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17</v>
      </c>
      <c r="J20" s="12">
        <f t="array" ref="J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9</v>
      </c>
      <c r="K20" s="26">
        <f t="array" ref="K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</v>
      </c>
      <c r="L20" s="12"/>
      <c r="O20" s="22">
        <v>12</v>
      </c>
      <c r="P20" s="23" t="s">
        <v>44</v>
      </c>
      <c r="Q20" s="24">
        <f>[1]Schedule!D26</f>
        <v>36</v>
      </c>
    </row>
    <row r="21" spans="2:42" ht="15" customHeight="1" x14ac:dyDescent="0.3">
      <c r="B21" s="28" t="s">
        <v>31</v>
      </c>
      <c r="C21" s="29">
        <v>8</v>
      </c>
      <c r="D21" s="30">
        <v>6</v>
      </c>
      <c r="E21" s="31">
        <v>8</v>
      </c>
      <c r="F21" s="29">
        <v>10</v>
      </c>
      <c r="G21" s="30">
        <v>8</v>
      </c>
      <c r="H21" s="31">
        <v>8</v>
      </c>
      <c r="I21" s="29">
        <v>6</v>
      </c>
      <c r="J21" s="30">
        <v>9</v>
      </c>
      <c r="K21" s="31">
        <v>8</v>
      </c>
      <c r="L21" s="12">
        <f>SUM(C21:K21)</f>
        <v>71</v>
      </c>
      <c r="M21" s="32">
        <f>SUM(C21:K21)-SUM(C$10:K$10)</f>
        <v>35</v>
      </c>
      <c r="O21" s="22">
        <v>13</v>
      </c>
      <c r="P21" s="23" t="s">
        <v>45</v>
      </c>
      <c r="Q21" s="24">
        <f>[1]Schedule!D27</f>
        <v>36</v>
      </c>
    </row>
    <row r="22" spans="2:42" x14ac:dyDescent="0.3">
      <c r="B22" s="25" t="s">
        <v>34</v>
      </c>
      <c r="C22" s="27">
        <f t="shared" ref="C22:K22" si="3">INT($D$17/18)+IF(C20&lt;=MOD($D$17,18),1,0)</f>
        <v>2</v>
      </c>
      <c r="D22" s="12">
        <f t="shared" si="3"/>
        <v>2</v>
      </c>
      <c r="E22" s="26">
        <f t="shared" si="3"/>
        <v>2</v>
      </c>
      <c r="F22" s="27">
        <f t="shared" si="3"/>
        <v>2</v>
      </c>
      <c r="G22" s="12">
        <f t="shared" si="3"/>
        <v>2</v>
      </c>
      <c r="H22" s="26">
        <f t="shared" si="3"/>
        <v>2</v>
      </c>
      <c r="I22" s="27">
        <f t="shared" si="3"/>
        <v>2</v>
      </c>
      <c r="J22" s="12">
        <f t="shared" si="3"/>
        <v>2</v>
      </c>
      <c r="K22" s="26">
        <f t="shared" si="3"/>
        <v>2</v>
      </c>
      <c r="L22" s="32"/>
      <c r="O22" s="22">
        <v>14</v>
      </c>
      <c r="P22" s="23" t="s">
        <v>46</v>
      </c>
      <c r="Q22" s="24">
        <f>[1]Schedule!D28</f>
        <v>36</v>
      </c>
    </row>
    <row r="23" spans="2:42" x14ac:dyDescent="0.3">
      <c r="B23" s="25" t="s">
        <v>36</v>
      </c>
      <c r="C23" s="27">
        <f t="shared" ref="C23:K23" si="4">C21-C22</f>
        <v>6</v>
      </c>
      <c r="D23" s="12">
        <f t="shared" si="4"/>
        <v>4</v>
      </c>
      <c r="E23" s="26">
        <f t="shared" si="4"/>
        <v>6</v>
      </c>
      <c r="F23" s="27">
        <f t="shared" si="4"/>
        <v>8</v>
      </c>
      <c r="G23" s="12">
        <f t="shared" si="4"/>
        <v>6</v>
      </c>
      <c r="H23" s="26">
        <f t="shared" si="4"/>
        <v>6</v>
      </c>
      <c r="I23" s="27">
        <f t="shared" si="4"/>
        <v>4</v>
      </c>
      <c r="J23" s="12">
        <f t="shared" si="4"/>
        <v>7</v>
      </c>
      <c r="K23" s="26">
        <f t="shared" si="4"/>
        <v>6</v>
      </c>
      <c r="L23" s="34">
        <f>SUM(C23:K23)</f>
        <v>53</v>
      </c>
      <c r="M23" s="32">
        <f>SUM(C23:K23)-SUM(C$10:K$10)</f>
        <v>17</v>
      </c>
      <c r="O23" s="22">
        <v>15</v>
      </c>
      <c r="P23" s="23" t="s">
        <v>40</v>
      </c>
      <c r="Q23" s="24">
        <f>[1]Schedule!D29</f>
        <v>36</v>
      </c>
    </row>
    <row r="24" spans="2:42" ht="14.25" customHeight="1" thickBot="1" x14ac:dyDescent="0.3">
      <c r="B24" s="35" t="s">
        <v>38</v>
      </c>
      <c r="C24" s="36">
        <f t="shared" ref="C24:K24" si="5">IF(C23&lt;C14,1,0)</f>
        <v>0</v>
      </c>
      <c r="D24" s="37">
        <f t="shared" si="5"/>
        <v>0</v>
      </c>
      <c r="E24" s="38">
        <f t="shared" si="5"/>
        <v>0</v>
      </c>
      <c r="F24" s="36">
        <f t="shared" si="5"/>
        <v>0</v>
      </c>
      <c r="G24" s="37">
        <f t="shared" si="5"/>
        <v>0</v>
      </c>
      <c r="H24" s="38">
        <f t="shared" si="5"/>
        <v>0</v>
      </c>
      <c r="I24" s="36">
        <f t="shared" si="5"/>
        <v>0</v>
      </c>
      <c r="J24" s="37">
        <f t="shared" si="5"/>
        <v>0</v>
      </c>
      <c r="K24" s="38">
        <f t="shared" si="5"/>
        <v>0</v>
      </c>
      <c r="L24" s="12"/>
    </row>
    <row r="29" spans="2:42" x14ac:dyDescent="0.25">
      <c r="AP29" s="2" t="s">
        <v>10</v>
      </c>
    </row>
  </sheetData>
  <mergeCells count="13">
    <mergeCell ref="J1:M1"/>
    <mergeCell ref="J2:K2"/>
    <mergeCell ref="L2:M2"/>
    <mergeCell ref="B3:B4"/>
    <mergeCell ref="J3:K5"/>
    <mergeCell ref="L3:M5"/>
    <mergeCell ref="B5:B6"/>
    <mergeCell ref="T7:AM7"/>
    <mergeCell ref="AN7:BG7"/>
    <mergeCell ref="U8:AC8"/>
    <mergeCell ref="AD8:AM8"/>
    <mergeCell ref="AO8:AW8"/>
    <mergeCell ref="AX8:BG8"/>
  </mergeCells>
  <conditionalFormatting sqref="C15:K15 C24:K24">
    <cfRule type="cellIs" dxfId="0" priority="1" operator="greaterThan">
      <formula>0.5</formula>
    </cfRule>
  </conditionalFormatting>
  <dataValidations count="4">
    <dataValidation type="list" allowBlank="1" showInputMessage="1" showErrorMessage="1" sqref="B8 B17" xr:uid="{C9AEDD85-A7D3-4E4C-B668-7AD01D2A0F97}">
      <formula1>$P$9:$P$23</formula1>
    </dataValidation>
    <dataValidation type="list" allowBlank="1" showInputMessage="1" showErrorMessage="1" sqref="G8 G17 G29" xr:uid="{99534488-80E5-4A0C-85E7-5CBC12771C2B}">
      <formula1>INDIRECT(SUBSTITUTE($B$2," ","_"))</formula1>
    </dataValidation>
    <dataValidation type="list" allowBlank="1" showInputMessage="1" showErrorMessage="1" sqref="B2" xr:uid="{09069BF6-4B93-4325-A190-3182B6A4A52F}">
      <formula1>$T$7:$BG$7</formula1>
    </dataValidation>
    <dataValidation type="list" showInputMessage="1" showErrorMessage="1" sqref="J8 J17" xr:uid="{98653412-F62B-4706-828B-0A2A536F6752}">
      <formula1>$U$8:$AD$8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3B9F3-7138-4C94-97BC-0498273A3425}">
  <dimension ref="C2:D5"/>
  <sheetViews>
    <sheetView workbookViewId="0">
      <selection activeCell="M38" sqref="M38"/>
    </sheetView>
  </sheetViews>
  <sheetFormatPr defaultRowHeight="13.2" x14ac:dyDescent="0.25"/>
  <cols>
    <col min="3" max="3" width="8.88671875" bestFit="1" customWidth="1"/>
    <col min="4" max="4" width="14.109375" bestFit="1" customWidth="1"/>
  </cols>
  <sheetData>
    <row r="2" spans="3:4" x14ac:dyDescent="0.25">
      <c r="C2" t="s">
        <v>2</v>
      </c>
      <c r="D2" t="s">
        <v>47</v>
      </c>
    </row>
    <row r="3" spans="3:4" x14ac:dyDescent="0.25">
      <c r="C3" t="s">
        <v>14</v>
      </c>
      <c r="D3" t="s">
        <v>14</v>
      </c>
    </row>
    <row r="4" spans="3:4" x14ac:dyDescent="0.25">
      <c r="C4" t="s">
        <v>26</v>
      </c>
      <c r="D4" t="s">
        <v>27</v>
      </c>
    </row>
    <row r="5" spans="3:4" x14ac:dyDescent="0.25">
      <c r="C5" t="s">
        <v>30</v>
      </c>
      <c r="D5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Calculator</vt:lpstr>
      <vt:lpstr>Helper</vt:lpstr>
      <vt:lpstr>Highland_Creek</vt:lpstr>
      <vt:lpstr>Skybrook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2026-04-21T17:26:17Z</dcterms:created>
  <dcterms:modified xsi:type="dcterms:W3CDTF">2026-05-06T19:52:31Z</dcterms:modified>
</cp:coreProperties>
</file>