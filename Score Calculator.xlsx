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307" documentId="8_{A2D2493B-942A-431B-BFE9-D343A07FD7E4}" xr6:coauthVersionLast="47" xr6:coauthVersionMax="47" xr10:uidLastSave="{94EA9ED9-57C3-42F3-BB2E-A74E3CB3748B}"/>
  <bookViews>
    <workbookView minimized="1" xWindow="44370" yWindow="5970" windowWidth="28800" windowHeight="15345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D17" i="1" l="1"/>
  <c r="E22" i="1" s="1"/>
  <c r="E23" i="1" s="1"/>
  <c r="D8" i="1"/>
  <c r="H14" i="1" s="1"/>
  <c r="F19" i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D19" i="1" a="1"/>
  <c r="D19" i="1" s="1"/>
  <c r="E19" i="1" a="1"/>
  <c r="E19" i="1" s="1"/>
  <c r="G20" i="1" a="1"/>
  <c r="G20" i="1" s="1"/>
  <c r="K20" i="1" a="1"/>
  <c r="K20" i="1" s="1"/>
  <c r="J19" i="1" a="1"/>
  <c r="J19" i="1" s="1"/>
  <c r="I19" i="1" a="1"/>
  <c r="I19" i="1" s="1"/>
  <c r="L10" i="1"/>
  <c r="M12" i="1"/>
  <c r="M21" i="1"/>
  <c r="C20" i="1" a="1"/>
  <c r="C20" i="1" s="1"/>
  <c r="D20" i="1" a="1"/>
  <c r="D20" i="1" s="1"/>
  <c r="C19" i="1" a="1"/>
  <c r="C19" i="1" s="1"/>
  <c r="C13" i="1" l="1"/>
  <c r="C14" i="1" s="1"/>
  <c r="J14" i="1"/>
  <c r="F22" i="1"/>
  <c r="F23" i="1" s="1"/>
  <c r="G22" i="1"/>
  <c r="G23" i="1" s="1"/>
  <c r="H22" i="1"/>
  <c r="H23" i="1" s="1"/>
  <c r="H15" i="1" s="1"/>
  <c r="E13" i="1"/>
  <c r="I13" i="1"/>
  <c r="K14" i="1"/>
  <c r="H13" i="1"/>
  <c r="D13" i="1"/>
  <c r="I14" i="1"/>
  <c r="G14" i="1"/>
  <c r="D22" i="1"/>
  <c r="D23" i="1" s="1"/>
  <c r="F14" i="1"/>
  <c r="K22" i="1"/>
  <c r="K23" i="1" s="1"/>
  <c r="E14" i="1"/>
  <c r="E24" i="1" s="1"/>
  <c r="C22" i="1"/>
  <c r="C23" i="1" s="1"/>
  <c r="D14" i="1"/>
  <c r="G13" i="1"/>
  <c r="J22" i="1"/>
  <c r="J23" i="1" s="1"/>
  <c r="F13" i="1"/>
  <c r="K13" i="1"/>
  <c r="J13" i="1"/>
  <c r="I22" i="1"/>
  <c r="I23" i="1" s="1"/>
  <c r="L19" i="1"/>
  <c r="D24" i="1" l="1"/>
  <c r="F15" i="1"/>
  <c r="G15" i="1"/>
  <c r="K24" i="1"/>
  <c r="J15" i="1"/>
  <c r="C24" i="1"/>
  <c r="H24" i="1"/>
  <c r="M23" i="1"/>
  <c r="I15" i="1"/>
  <c r="M14" i="1"/>
  <c r="G24" i="1"/>
  <c r="J24" i="1"/>
  <c r="I24" i="1"/>
  <c r="D15" i="1"/>
  <c r="K15" i="1"/>
  <c r="C15" i="1"/>
  <c r="E15" i="1"/>
  <c r="H3" i="1"/>
  <c r="F24" i="1"/>
  <c r="L14" i="1"/>
  <c r="L23" i="1"/>
  <c r="H5" i="1"/>
  <c r="F3" i="1" l="1"/>
  <c r="D5" i="1"/>
  <c r="E3" i="1"/>
  <c r="F5" i="1"/>
  <c r="D3" i="1"/>
  <c r="G5" i="1"/>
  <c r="E5" i="1"/>
  <c r="H4" i="1"/>
  <c r="H6" i="1"/>
  <c r="G3" i="1"/>
  <c r="F6" i="1" l="1"/>
  <c r="D6" i="1"/>
  <c r="F4" i="1"/>
  <c r="E4" i="1"/>
  <c r="E6" i="1"/>
  <c r="G4" i="1"/>
  <c r="D4" i="1"/>
  <c r="G6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<sst xmlns="http://schemas.openxmlformats.org/spreadsheetml/2006/main" count="88" uniqueCount="48">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</sst>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39" t="s">
        <v>1</v>
      </c>
      <c r="K1" s="40"/>
      <c r="L1" s="40"/>
      <c r="M1" s="40"/>
    </row>
    <row r="2" spans="2:5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1" t="str">
        <f>B8</f>
        <v>David Maddox</v>
      </c>
      <c r="K2" s="42"/>
      <c r="L2" s="43" t="str">
        <f>B17</f>
        <v>Nick Coglianese</v>
      </c>
      <c r="M2" s="42"/>
    </row>
    <row r="3" spans="2:59" ht="14.25" customHeight="1" thickBot="1" x14ac:dyDescent="0.25">
      <c r="B3" s="44" t="str">
        <f>J2</f>
        <v>David Maddox</v>
      </c>
      <c r="C3" s="6" t="s">
        <v>8</v>
      </c>
      <c r="D3" s="7">
        <f>SUM(C15:E15)</f>
        <v>0</v>
      </c>
      <c r="E3" s="7">
        <f>SUM(F15:H15)</f>
        <v>0</v>
      </c>
      <c r="F3" s="7">
        <f>SUM(I15:K15)</f>
        <v>0</v>
      </c>
      <c r="G3" s="7">
        <f>SUM(C15:K15)</f>
        <v>0</v>
      </c>
      <c r="H3" s="7">
        <f>SUM(C14:K14)</f>
        <v>43</v>
      </c>
      <c r="J3" s="46">
        <f>SUM(D4:H4)</f>
        <v>4</v>
      </c>
      <c r="K3" s="47"/>
      <c r="L3" s="51">
        <f>SUM(D6:H6)</f>
        <v>4</v>
      </c>
      <c r="M3" s="47"/>
    </row>
    <row r="4" spans="2:59" ht="14.25" customHeight="1" thickBot="1" x14ac:dyDescent="0.25">
      <c r="B4" s="45"/>
      <c r="C4" s="8" t="s">
        <v>9</v>
      </c>
      <c r="D4" s="9">
        <f>IF(D3&gt;D5,2,IF(D3=D5,1,0))</f>
        <v>1</v>
      </c>
      <c r="E4" s="9">
        <f>IF(E3&gt;E5,2,IF(E3=E5,1,0))</f>
        <v>1</v>
      </c>
      <c r="F4" s="9">
        <f>IF(F3&gt;F5,2,IF(F3=F5,1,0))</f>
        <v>1</v>
      </c>
      <c r="G4" s="9">
        <f>IF(G3&gt;G5,1,IF(G3=G5,0.5,0))</f>
        <v>0.5</v>
      </c>
      <c r="H4" s="9">
        <f>IF(H3&lt;H5,1,IF(H3=H5,0.5,0))</f>
        <v>0.5</v>
      </c>
      <c r="J4" s="48"/>
      <c r="K4" s="49"/>
      <c r="L4" s="52"/>
      <c r="M4" s="49"/>
    </row>
    <row r="5" spans="2:59" ht="14.25" customHeight="1" thickBot="1" x14ac:dyDescent="0.25">
      <c r="B5" s="44" t="str">
        <f>L2</f>
        <v>Nick Coglianese</v>
      </c>
      <c r="C5" s="10" t="s">
        <v>8</v>
      </c>
      <c r="D5" s="11">
        <f>SUM(C24:E24)</f>
        <v>0</v>
      </c>
      <c r="E5" s="11">
        <f>SUM(F24:H24)</f>
        <v>0</v>
      </c>
      <c r="F5" s="11">
        <f>SUM(I24:K24)</f>
        <v>0</v>
      </c>
      <c r="G5" s="11">
        <f>SUM(C24:K24)</f>
        <v>0</v>
      </c>
      <c r="H5" s="11">
        <f>SUM(C23:K23)</f>
        <v>43</v>
      </c>
      <c r="J5" s="45"/>
      <c r="K5" s="50"/>
      <c r="L5" s="40"/>
      <c r="M5" s="50"/>
    </row>
    <row r="6" spans="2:59" ht="14.25" customHeight="1" thickBot="1" x14ac:dyDescent="0.25">
      <c r="B6" s="45"/>
      <c r="C6" s="8" t="s">
        <v>9</v>
      </c>
      <c r="D6" s="9">
        <f>IF(D5&gt;D3,2,IF(D5=D3,1,0))</f>
        <v>1</v>
      </c>
      <c r="E6" s="9">
        <f>IF(E5&gt;E3,2,IF(E5=E3,1,0))</f>
        <v>1</v>
      </c>
      <c r="F6" s="9">
        <f>IF(F5&gt;F3,2,IF(F5=F3,1,0))</f>
        <v>1</v>
      </c>
      <c r="G6" s="9">
        <f>IF(G5&gt;G3,1,IF(G5=G3,0.5,0))</f>
        <v>0.5</v>
      </c>
      <c r="H6" s="9">
        <f>IF(H5&lt;H3,1,IF(H5=H3,0.5,0))</f>
        <v>0.5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53" t="s">
        <v>2</v>
      </c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3" t="s">
        <v>10</v>
      </c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</row>
    <row r="8" spans="2:59" ht="16.5" customHeight="1" thickBot="1" x14ac:dyDescent="0.3">
      <c r="B8" s="13" t="s">
        <v>43</v>
      </c>
      <c r="C8" s="14" t="s">
        <v>12</v>
      </c>
      <c r="D8" s="12">
        <f>_xlfn.XLOOKUP(B8,$P$9:$P$23,$Q$9:$Q$23)</f>
        <v>36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53" t="s">
        <v>16</v>
      </c>
      <c r="V8" s="52"/>
      <c r="W8" s="52"/>
      <c r="X8" s="52"/>
      <c r="Y8" s="52"/>
      <c r="Z8" s="52"/>
      <c r="AA8" s="52"/>
      <c r="AB8" s="52"/>
      <c r="AC8" s="52"/>
      <c r="AD8" s="53" t="s">
        <v>21</v>
      </c>
      <c r="AE8" s="52"/>
      <c r="AF8" s="52"/>
      <c r="AG8" s="52"/>
      <c r="AH8" s="52"/>
      <c r="AI8" s="52"/>
      <c r="AJ8" s="52"/>
      <c r="AK8" s="52"/>
      <c r="AL8" s="52"/>
      <c r="AM8" s="52"/>
      <c r="AN8" s="2" t="s">
        <v>20</v>
      </c>
      <c r="AO8" s="53" t="s">
        <v>16</v>
      </c>
      <c r="AP8" s="52"/>
      <c r="AQ8" s="52"/>
      <c r="AR8" s="52"/>
      <c r="AS8" s="52"/>
      <c r="AT8" s="52"/>
      <c r="AU8" s="52"/>
      <c r="AV8" s="52"/>
      <c r="AW8" s="52"/>
      <c r="AX8" s="53" t="s">
        <v>21</v>
      </c>
      <c r="AY8" s="52"/>
      <c r="AZ8" s="52"/>
      <c r="BA8" s="52"/>
      <c r="BB8" s="52"/>
      <c r="BC8" s="52"/>
      <c r="BD8" s="52"/>
      <c r="BE8" s="52"/>
      <c r="BF8" s="52"/>
      <c r="BG8" s="52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5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3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3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5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4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7</v>
      </c>
      <c r="D12" s="30">
        <v>10</v>
      </c>
      <c r="E12" s="31">
        <v>6</v>
      </c>
      <c r="F12" s="29">
        <v>8</v>
      </c>
      <c r="G12" s="30">
        <v>5</v>
      </c>
      <c r="H12" s="31">
        <v>6</v>
      </c>
      <c r="I12" s="29">
        <v>6</v>
      </c>
      <c r="J12" s="30">
        <v>6</v>
      </c>
      <c r="K12" s="31">
        <v>7</v>
      </c>
      <c r="L12" s="12">
        <f>SUM(C12:K12)</f>
        <v>61</v>
      </c>
      <c r="M12" s="32">
        <f>SUM(C12:K12)-SUM(C$10:K$10)</f>
        <v>25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2</v>
      </c>
      <c r="D13" s="12">
        <f t="shared" si="0"/>
        <v>2</v>
      </c>
      <c r="E13" s="26">
        <f t="shared" si="0"/>
        <v>2</v>
      </c>
      <c r="F13" s="27">
        <f t="shared" si="0"/>
        <v>2</v>
      </c>
      <c r="G13" s="12">
        <f t="shared" si="0"/>
        <v>2</v>
      </c>
      <c r="H13" s="26">
        <f t="shared" si="0"/>
        <v>2</v>
      </c>
      <c r="I13" s="27">
        <f t="shared" si="0"/>
        <v>2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5</v>
      </c>
      <c r="D14" s="12">
        <f t="shared" ref="D14:K14" si="1">D12-INT($D$8/18)-IF(D11&lt;=MOD($D$8,18),1,0)</f>
        <v>8</v>
      </c>
      <c r="E14" s="26">
        <f t="shared" si="1"/>
        <v>4</v>
      </c>
      <c r="F14" s="27">
        <f t="shared" si="1"/>
        <v>6</v>
      </c>
      <c r="G14" s="12">
        <f t="shared" si="1"/>
        <v>3</v>
      </c>
      <c r="H14" s="26">
        <f t="shared" si="1"/>
        <v>4</v>
      </c>
      <c r="I14" s="27">
        <f t="shared" si="1"/>
        <v>4</v>
      </c>
      <c r="J14" s="12">
        <f t="shared" si="1"/>
        <v>4</v>
      </c>
      <c r="K14" s="26">
        <f t="shared" si="1"/>
        <v>5</v>
      </c>
      <c r="L14" s="34">
        <f>SUM(C14:K14)</f>
        <v>43</v>
      </c>
      <c r="M14" s="32">
        <f>SUM(C14:K14)-SUM(C$10:K$10)</f>
        <v>7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0</v>
      </c>
      <c r="D15" s="37">
        <f t="shared" si="2"/>
        <v>0</v>
      </c>
      <c r="E15" s="38">
        <f t="shared" si="2"/>
        <v>0</v>
      </c>
      <c r="F15" s="36">
        <f t="shared" si="2"/>
        <v>0</v>
      </c>
      <c r="G15" s="37">
        <f t="shared" si="2"/>
        <v>0</v>
      </c>
      <c r="H15" s="38">
        <f t="shared" si="2"/>
        <v>0</v>
      </c>
      <c r="I15" s="36">
        <f t="shared" si="2"/>
        <v>0</v>
      </c>
      <c r="J15" s="37">
        <f t="shared" si="2"/>
        <v>0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40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5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3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3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5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4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7</v>
      </c>
      <c r="D21" s="30">
        <v>10</v>
      </c>
      <c r="E21" s="31">
        <v>6</v>
      </c>
      <c r="F21" s="29">
        <v>8</v>
      </c>
      <c r="G21" s="30">
        <v>5</v>
      </c>
      <c r="H21" s="31">
        <v>6</v>
      </c>
      <c r="I21" s="29">
        <v>6</v>
      </c>
      <c r="J21" s="30">
        <v>6</v>
      </c>
      <c r="K21" s="31">
        <v>7</v>
      </c>
      <c r="L21" s="12">
        <f>SUM(C21:K21)</f>
        <v>61</v>
      </c>
      <c r="M21" s="32">
        <f>SUM(C21:K21)-SUM(C$10:K$10)</f>
        <v>25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5</v>
      </c>
      <c r="D23" s="12">
        <f t="shared" si="4"/>
        <v>8</v>
      </c>
      <c r="E23" s="26">
        <f t="shared" si="4"/>
        <v>4</v>
      </c>
      <c r="F23" s="27">
        <f t="shared" si="4"/>
        <v>6</v>
      </c>
      <c r="G23" s="12">
        <f t="shared" si="4"/>
        <v>3</v>
      </c>
      <c r="H23" s="26">
        <f t="shared" si="4"/>
        <v>4</v>
      </c>
      <c r="I23" s="27">
        <f t="shared" si="4"/>
        <v>4</v>
      </c>
      <c r="J23" s="12">
        <f t="shared" si="4"/>
        <v>4</v>
      </c>
      <c r="K23" s="26">
        <f t="shared" si="4"/>
        <v>5</v>
      </c>
      <c r="L23" s="34">
        <f>SUM(C23:K23)</f>
        <v>43</v>
      </c>
      <c r="M23" s="32">
        <f>SUM(C23:K23)-SUM(C$10:K$10)</f>
        <v>7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">
      <c r="AP29" s="2" t="s">
        <v>10</v>
      </c>
    </row>
  </sheetData>
  <mergeCells count="13">
    <mergeCell ref="T7:AM7"/>
    <mergeCell ref="AN7:BG7"/>
    <mergeCell ref="U8:AC8"/>
    <mergeCell ref="AD8:AM8"/>
    <mergeCell ref="AO8:AW8"/>
    <mergeCell ref="AX8:BG8"/>
    <mergeCell ref="J1:M1"/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2026-06-16T14:59:28Z</dcterms:modified>
</cp:coreProperties>
</file>